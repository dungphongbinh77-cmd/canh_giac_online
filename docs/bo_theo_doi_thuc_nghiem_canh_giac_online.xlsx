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MA_HOC_SINH" sheetId="2" state="visible" r:id="rId2"/>
    <sheet xmlns:r="http://schemas.openxmlformats.org/officeDocument/2006/relationships" name="PRE_TEST" sheetId="3" state="visible" r:id="rId3"/>
    <sheet xmlns:r="http://schemas.openxmlformats.org/officeDocument/2006/relationships" name="POST_TEST" sheetId="4" state="visible" r:id="rId4"/>
    <sheet xmlns:r="http://schemas.openxmlformats.org/officeDocument/2006/relationships" name="KET_QUA" sheetId="5" state="visible" r:id="rId5"/>
    <sheet xmlns:r="http://schemas.openxmlformats.org/officeDocument/2006/relationships" name="TONG_HOP" sheetId="6" state="visible" r:id="rId6"/>
  </sheets>
  <definedNames>
    <definedName name="_xlnm._FilterDatabase" localSheetId="2" hidden="1">'PRE_TEST'!$A$1:$H$21</definedName>
    <definedName name="_xlnm._FilterDatabase" localSheetId="3" hidden="1">'POST_TEST'!$A$1:$H$21</definedName>
    <definedName name="_xlnm._FilterDatabase" localSheetId="4" hidden="1">'KET_QUA'!$A$1:$I$61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b val="1"/>
      <color rgb="00FFFFFF"/>
    </font>
    <font>
      <color rgb="00666666"/>
    </font>
    <font>
      <color rgb="000000FF"/>
    </font>
    <font>
      <color rgb="00000000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Điểm trung bình Pre/Post theo nhóm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'TONG_HOP'!C3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'TONG_HOP'!$A$4:$A$5</f>
            </numRef>
          </cat>
          <val>
            <numRef>
              <f>'TONG_HOP'!$C$4:$C$5</f>
            </numRef>
          </val>
        </ser>
        <ser>
          <idx val="1"/>
          <order val="1"/>
          <tx>
            <strRef>
              <f>'TONG_HOP'!D3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'TONG_HOP'!$A$4:$A$5</f>
            </numRef>
          </cat>
          <val>
            <numRef>
              <f>'TONG_HOP'!$D$4:$D$5</f>
            </numRef>
          </val>
        </ser>
        <ser>
          <idx val="2"/>
          <order val="2"/>
          <tx>
            <strRef>
              <f>'TONG_HOP'!E3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'TONG_HOP'!$A$4:$A$5</f>
            </numRef>
          </cat>
          <val>
            <numRef>
              <f>'TONG_HOP'!$E$4:$E$5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Nhóm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(0-20)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CẢNH GIÁC ONLINE - BỘ THEO DÕI THỰC NGHIỆM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Mục đích</t>
        </is>
      </c>
      <c r="B3" s="4" t="inlineStr">
        <is>
          <t>Theo dõi Pre-test/Post-test cho nhóm thực nghiệm và đối chứng.</t>
        </is>
      </c>
      <c r="C3" s="2" t="n"/>
      <c r="D3" s="2" t="n"/>
      <c r="E3" s="2" t="n"/>
      <c r="F3" s="2" t="n"/>
    </row>
    <row r="4">
      <c r="A4" s="3" t="inlineStr">
        <is>
          <t>Cỡ mẫu mẫu</t>
        </is>
      </c>
      <c r="B4" s="4" t="inlineStr">
        <is>
          <t>60 học sinh: 30 thực nghiệm + 30 đối chứng.</t>
        </is>
      </c>
      <c r="C4" s="2" t="n"/>
      <c r="D4" s="2" t="n"/>
      <c r="E4" s="2" t="n"/>
      <c r="F4" s="2" t="n"/>
    </row>
    <row r="5">
      <c r="A5" s="3" t="inlineStr">
        <is>
          <t>Quy tắc mã</t>
        </is>
      </c>
      <c r="B5" s="4" t="inlineStr">
        <is>
          <t>Chỉ dùng mã TN_01...TN_30 và DC_01...DC_30; không ghi họ tên trong app.</t>
        </is>
      </c>
      <c r="C5" s="2" t="n"/>
      <c r="D5" s="2" t="n"/>
      <c r="E5" s="2" t="n"/>
      <c r="F5" s="2" t="n"/>
    </row>
    <row r="6">
      <c r="A6" s="3" t="inlineStr">
        <is>
          <t>Nhập liệu</t>
        </is>
      </c>
      <c r="B6" s="4" t="inlineStr">
        <is>
          <t>Dán điểm Pre/Post thật vào sheet KET_QUA; các cột chênh lệch và bảng tổng hợp sẽ tự tính.</t>
        </is>
      </c>
      <c r="C6" s="2" t="n"/>
      <c r="D6" s="2" t="n"/>
      <c r="E6" s="2" t="n"/>
      <c r="F6" s="2" t="n"/>
    </row>
    <row r="7">
      <c r="A7" s="3" t="inlineStr">
        <is>
          <t>Lưu ý</t>
        </is>
      </c>
      <c r="B7" s="4" t="inlineStr">
        <is>
          <t>Không dùng số liệu minh họa làm kết quả nghiên cứu chính thức.</t>
        </is>
      </c>
      <c r="C7" s="2" t="n"/>
      <c r="D7" s="2" t="n"/>
      <c r="E7" s="2" t="n"/>
      <c r="F7" s="2" t="n"/>
    </row>
  </sheetData>
  <mergeCells count="6">
    <mergeCell ref="B4:F4"/>
    <mergeCell ref="B7:F7"/>
    <mergeCell ref="B6:F6"/>
    <mergeCell ref="A1:F1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0" customWidth="1" min="4" max="4"/>
  </cols>
  <sheetData>
    <row r="1">
      <c r="A1" s="5" t="inlineStr">
        <is>
          <t>Mã HS</t>
        </is>
      </c>
      <c r="B1" s="5" t="inlineStr">
        <is>
          <t>Nhóm</t>
        </is>
      </c>
      <c r="C1" s="5" t="inlineStr">
        <is>
          <t>Hoạt động</t>
        </is>
      </c>
      <c r="D1" s="5" t="inlineStr">
        <is>
          <t>Ghi chú</t>
        </is>
      </c>
    </row>
    <row r="2">
      <c r="A2" s="2" t="inlineStr">
        <is>
          <t>TN_01</t>
        </is>
      </c>
      <c r="B2" s="2" t="inlineStr">
        <is>
          <t>Thực nghiệm</t>
        </is>
      </c>
      <c r="C2" s="2" t="inlineStr">
        <is>
          <t>Có</t>
        </is>
      </c>
      <c r="D2" s="2" t="n"/>
    </row>
    <row r="3">
      <c r="A3" s="2" t="inlineStr">
        <is>
          <t>TN_02</t>
        </is>
      </c>
      <c r="B3" s="2" t="inlineStr">
        <is>
          <t>Thực nghiệm</t>
        </is>
      </c>
      <c r="C3" s="2" t="inlineStr">
        <is>
          <t>Có</t>
        </is>
      </c>
      <c r="D3" s="2" t="n"/>
    </row>
    <row r="4">
      <c r="A4" s="2" t="inlineStr">
        <is>
          <t>TN_03</t>
        </is>
      </c>
      <c r="B4" s="2" t="inlineStr">
        <is>
          <t>Thực nghiệm</t>
        </is>
      </c>
      <c r="C4" s="2" t="inlineStr">
        <is>
          <t>Có</t>
        </is>
      </c>
      <c r="D4" s="2" t="n"/>
    </row>
    <row r="5">
      <c r="A5" s="2" t="inlineStr">
        <is>
          <t>TN_04</t>
        </is>
      </c>
      <c r="B5" s="2" t="inlineStr">
        <is>
          <t>Thực nghiệm</t>
        </is>
      </c>
      <c r="C5" s="2" t="inlineStr">
        <is>
          <t>Có</t>
        </is>
      </c>
      <c r="D5" s="2" t="n"/>
    </row>
    <row r="6">
      <c r="A6" s="2" t="inlineStr">
        <is>
          <t>TN_05</t>
        </is>
      </c>
      <c r="B6" s="2" t="inlineStr">
        <is>
          <t>Thực nghiệm</t>
        </is>
      </c>
      <c r="C6" s="2" t="inlineStr">
        <is>
          <t>Có</t>
        </is>
      </c>
      <c r="D6" s="2" t="n"/>
    </row>
    <row r="7">
      <c r="A7" s="2" t="inlineStr">
        <is>
          <t>TN_06</t>
        </is>
      </c>
      <c r="B7" s="2" t="inlineStr">
        <is>
          <t>Thực nghiệm</t>
        </is>
      </c>
      <c r="C7" s="2" t="inlineStr">
        <is>
          <t>Có</t>
        </is>
      </c>
      <c r="D7" s="2" t="n"/>
    </row>
    <row r="8">
      <c r="A8" s="2" t="inlineStr">
        <is>
          <t>TN_07</t>
        </is>
      </c>
      <c r="B8" s="2" t="inlineStr">
        <is>
          <t>Thực nghiệm</t>
        </is>
      </c>
      <c r="C8" s="2" t="inlineStr">
        <is>
          <t>Có</t>
        </is>
      </c>
      <c r="D8" s="2" t="n"/>
    </row>
    <row r="9">
      <c r="A9" s="2" t="inlineStr">
        <is>
          <t>TN_08</t>
        </is>
      </c>
      <c r="B9" s="2" t="inlineStr">
        <is>
          <t>Thực nghiệm</t>
        </is>
      </c>
      <c r="C9" s="2" t="inlineStr">
        <is>
          <t>Có</t>
        </is>
      </c>
      <c r="D9" s="2" t="n"/>
    </row>
    <row r="10">
      <c r="A10" s="2" t="inlineStr">
        <is>
          <t>TN_09</t>
        </is>
      </c>
      <c r="B10" s="2" t="inlineStr">
        <is>
          <t>Thực nghiệm</t>
        </is>
      </c>
      <c r="C10" s="2" t="inlineStr">
        <is>
          <t>Có</t>
        </is>
      </c>
      <c r="D10" s="2" t="n"/>
    </row>
    <row r="11">
      <c r="A11" s="2" t="inlineStr">
        <is>
          <t>TN_10</t>
        </is>
      </c>
      <c r="B11" s="2" t="inlineStr">
        <is>
          <t>Thực nghiệm</t>
        </is>
      </c>
      <c r="C11" s="2" t="inlineStr">
        <is>
          <t>Có</t>
        </is>
      </c>
      <c r="D11" s="2" t="n"/>
    </row>
    <row r="12">
      <c r="A12" s="2" t="inlineStr">
        <is>
          <t>TN_11</t>
        </is>
      </c>
      <c r="B12" s="2" t="inlineStr">
        <is>
          <t>Thực nghiệm</t>
        </is>
      </c>
      <c r="C12" s="2" t="inlineStr">
        <is>
          <t>Có</t>
        </is>
      </c>
      <c r="D12" s="2" t="n"/>
    </row>
    <row r="13">
      <c r="A13" s="2" t="inlineStr">
        <is>
          <t>TN_12</t>
        </is>
      </c>
      <c r="B13" s="2" t="inlineStr">
        <is>
          <t>Thực nghiệm</t>
        </is>
      </c>
      <c r="C13" s="2" t="inlineStr">
        <is>
          <t>Có</t>
        </is>
      </c>
      <c r="D13" s="2" t="n"/>
    </row>
    <row r="14">
      <c r="A14" s="2" t="inlineStr">
        <is>
          <t>TN_13</t>
        </is>
      </c>
      <c r="B14" s="2" t="inlineStr">
        <is>
          <t>Thực nghiệm</t>
        </is>
      </c>
      <c r="C14" s="2" t="inlineStr">
        <is>
          <t>Có</t>
        </is>
      </c>
      <c r="D14" s="2" t="n"/>
    </row>
    <row r="15">
      <c r="A15" s="2" t="inlineStr">
        <is>
          <t>TN_14</t>
        </is>
      </c>
      <c r="B15" s="2" t="inlineStr">
        <is>
          <t>Thực nghiệm</t>
        </is>
      </c>
      <c r="C15" s="2" t="inlineStr">
        <is>
          <t>Có</t>
        </is>
      </c>
      <c r="D15" s="2" t="n"/>
    </row>
    <row r="16">
      <c r="A16" s="2" t="inlineStr">
        <is>
          <t>TN_15</t>
        </is>
      </c>
      <c r="B16" s="2" t="inlineStr">
        <is>
          <t>Thực nghiệm</t>
        </is>
      </c>
      <c r="C16" s="2" t="inlineStr">
        <is>
          <t>Có</t>
        </is>
      </c>
      <c r="D16" s="2" t="n"/>
    </row>
    <row r="17">
      <c r="A17" s="2" t="inlineStr">
        <is>
          <t>TN_16</t>
        </is>
      </c>
      <c r="B17" s="2" t="inlineStr">
        <is>
          <t>Thực nghiệm</t>
        </is>
      </c>
      <c r="C17" s="2" t="inlineStr">
        <is>
          <t>Có</t>
        </is>
      </c>
      <c r="D17" s="2" t="n"/>
    </row>
    <row r="18">
      <c r="A18" s="2" t="inlineStr">
        <is>
          <t>TN_17</t>
        </is>
      </c>
      <c r="B18" s="2" t="inlineStr">
        <is>
          <t>Thực nghiệm</t>
        </is>
      </c>
      <c r="C18" s="2" t="inlineStr">
        <is>
          <t>Có</t>
        </is>
      </c>
      <c r="D18" s="2" t="n"/>
    </row>
    <row r="19">
      <c r="A19" s="2" t="inlineStr">
        <is>
          <t>TN_18</t>
        </is>
      </c>
      <c r="B19" s="2" t="inlineStr">
        <is>
          <t>Thực nghiệm</t>
        </is>
      </c>
      <c r="C19" s="2" t="inlineStr">
        <is>
          <t>Có</t>
        </is>
      </c>
      <c r="D19" s="2" t="n"/>
    </row>
    <row r="20">
      <c r="A20" s="2" t="inlineStr">
        <is>
          <t>TN_19</t>
        </is>
      </c>
      <c r="B20" s="2" t="inlineStr">
        <is>
          <t>Thực nghiệm</t>
        </is>
      </c>
      <c r="C20" s="2" t="inlineStr">
        <is>
          <t>Có</t>
        </is>
      </c>
      <c r="D20" s="2" t="n"/>
    </row>
    <row r="21">
      <c r="A21" s="2" t="inlineStr">
        <is>
          <t>TN_20</t>
        </is>
      </c>
      <c r="B21" s="2" t="inlineStr">
        <is>
          <t>Thực nghiệm</t>
        </is>
      </c>
      <c r="C21" s="2" t="inlineStr">
        <is>
          <t>Có</t>
        </is>
      </c>
      <c r="D21" s="2" t="n"/>
    </row>
    <row r="22">
      <c r="A22" s="2" t="inlineStr">
        <is>
          <t>TN_21</t>
        </is>
      </c>
      <c r="B22" s="2" t="inlineStr">
        <is>
          <t>Thực nghiệm</t>
        </is>
      </c>
      <c r="C22" s="2" t="inlineStr">
        <is>
          <t>Có</t>
        </is>
      </c>
      <c r="D22" s="2" t="n"/>
    </row>
    <row r="23">
      <c r="A23" s="2" t="inlineStr">
        <is>
          <t>TN_22</t>
        </is>
      </c>
      <c r="B23" s="2" t="inlineStr">
        <is>
          <t>Thực nghiệm</t>
        </is>
      </c>
      <c r="C23" s="2" t="inlineStr">
        <is>
          <t>Có</t>
        </is>
      </c>
      <c r="D23" s="2" t="n"/>
    </row>
    <row r="24">
      <c r="A24" s="2" t="inlineStr">
        <is>
          <t>TN_23</t>
        </is>
      </c>
      <c r="B24" s="2" t="inlineStr">
        <is>
          <t>Thực nghiệm</t>
        </is>
      </c>
      <c r="C24" s="2" t="inlineStr">
        <is>
          <t>Có</t>
        </is>
      </c>
      <c r="D24" s="2" t="n"/>
    </row>
    <row r="25">
      <c r="A25" s="2" t="inlineStr">
        <is>
          <t>TN_24</t>
        </is>
      </c>
      <c r="B25" s="2" t="inlineStr">
        <is>
          <t>Thực nghiệm</t>
        </is>
      </c>
      <c r="C25" s="2" t="inlineStr">
        <is>
          <t>Có</t>
        </is>
      </c>
      <c r="D25" s="2" t="n"/>
    </row>
    <row r="26">
      <c r="A26" s="2" t="inlineStr">
        <is>
          <t>TN_25</t>
        </is>
      </c>
      <c r="B26" s="2" t="inlineStr">
        <is>
          <t>Thực nghiệm</t>
        </is>
      </c>
      <c r="C26" s="2" t="inlineStr">
        <is>
          <t>Có</t>
        </is>
      </c>
      <c r="D26" s="2" t="n"/>
    </row>
    <row r="27">
      <c r="A27" s="2" t="inlineStr">
        <is>
          <t>TN_26</t>
        </is>
      </c>
      <c r="B27" s="2" t="inlineStr">
        <is>
          <t>Thực nghiệm</t>
        </is>
      </c>
      <c r="C27" s="2" t="inlineStr">
        <is>
          <t>Có</t>
        </is>
      </c>
      <c r="D27" s="2" t="n"/>
    </row>
    <row r="28">
      <c r="A28" s="2" t="inlineStr">
        <is>
          <t>TN_27</t>
        </is>
      </c>
      <c r="B28" s="2" t="inlineStr">
        <is>
          <t>Thực nghiệm</t>
        </is>
      </c>
      <c r="C28" s="2" t="inlineStr">
        <is>
          <t>Có</t>
        </is>
      </c>
      <c r="D28" s="2" t="n"/>
    </row>
    <row r="29">
      <c r="A29" s="2" t="inlineStr">
        <is>
          <t>TN_28</t>
        </is>
      </c>
      <c r="B29" s="2" t="inlineStr">
        <is>
          <t>Thực nghiệm</t>
        </is>
      </c>
      <c r="C29" s="2" t="inlineStr">
        <is>
          <t>Có</t>
        </is>
      </c>
      <c r="D29" s="2" t="n"/>
    </row>
    <row r="30">
      <c r="A30" s="2" t="inlineStr">
        <is>
          <t>TN_29</t>
        </is>
      </c>
      <c r="B30" s="2" t="inlineStr">
        <is>
          <t>Thực nghiệm</t>
        </is>
      </c>
      <c r="C30" s="2" t="inlineStr">
        <is>
          <t>Có</t>
        </is>
      </c>
      <c r="D30" s="2" t="n"/>
    </row>
    <row r="31">
      <c r="A31" s="2" t="inlineStr">
        <is>
          <t>TN_30</t>
        </is>
      </c>
      <c r="B31" s="2" t="inlineStr">
        <is>
          <t>Thực nghiệm</t>
        </is>
      </c>
      <c r="C31" s="2" t="inlineStr">
        <is>
          <t>Có</t>
        </is>
      </c>
      <c r="D31" s="2" t="n"/>
    </row>
    <row r="32">
      <c r="A32" s="2" t="inlineStr">
        <is>
          <t>DC_01</t>
        </is>
      </c>
      <c r="B32" s="2" t="inlineStr">
        <is>
          <t>Đối chứng</t>
        </is>
      </c>
      <c r="C32" s="2" t="inlineStr">
        <is>
          <t>Có</t>
        </is>
      </c>
      <c r="D32" s="2" t="n"/>
    </row>
    <row r="33">
      <c r="A33" s="2" t="inlineStr">
        <is>
          <t>DC_02</t>
        </is>
      </c>
      <c r="B33" s="2" t="inlineStr">
        <is>
          <t>Đối chứng</t>
        </is>
      </c>
      <c r="C33" s="2" t="inlineStr">
        <is>
          <t>Có</t>
        </is>
      </c>
      <c r="D33" s="2" t="n"/>
    </row>
    <row r="34">
      <c r="A34" s="2" t="inlineStr">
        <is>
          <t>DC_03</t>
        </is>
      </c>
      <c r="B34" s="2" t="inlineStr">
        <is>
          <t>Đối chứng</t>
        </is>
      </c>
      <c r="C34" s="2" t="inlineStr">
        <is>
          <t>Có</t>
        </is>
      </c>
      <c r="D34" s="2" t="n"/>
    </row>
    <row r="35">
      <c r="A35" s="2" t="inlineStr">
        <is>
          <t>DC_04</t>
        </is>
      </c>
      <c r="B35" s="2" t="inlineStr">
        <is>
          <t>Đối chứng</t>
        </is>
      </c>
      <c r="C35" s="2" t="inlineStr">
        <is>
          <t>Có</t>
        </is>
      </c>
      <c r="D35" s="2" t="n"/>
    </row>
    <row r="36">
      <c r="A36" s="2" t="inlineStr">
        <is>
          <t>DC_05</t>
        </is>
      </c>
      <c r="B36" s="2" t="inlineStr">
        <is>
          <t>Đối chứng</t>
        </is>
      </c>
      <c r="C36" s="2" t="inlineStr">
        <is>
          <t>Có</t>
        </is>
      </c>
      <c r="D36" s="2" t="n"/>
    </row>
    <row r="37">
      <c r="A37" s="2" t="inlineStr">
        <is>
          <t>DC_06</t>
        </is>
      </c>
      <c r="B37" s="2" t="inlineStr">
        <is>
          <t>Đối chứng</t>
        </is>
      </c>
      <c r="C37" s="2" t="inlineStr">
        <is>
          <t>Có</t>
        </is>
      </c>
      <c r="D37" s="2" t="n"/>
    </row>
    <row r="38">
      <c r="A38" s="2" t="inlineStr">
        <is>
          <t>DC_07</t>
        </is>
      </c>
      <c r="B38" s="2" t="inlineStr">
        <is>
          <t>Đối chứng</t>
        </is>
      </c>
      <c r="C38" s="2" t="inlineStr">
        <is>
          <t>Có</t>
        </is>
      </c>
      <c r="D38" s="2" t="n"/>
    </row>
    <row r="39">
      <c r="A39" s="2" t="inlineStr">
        <is>
          <t>DC_08</t>
        </is>
      </c>
      <c r="B39" s="2" t="inlineStr">
        <is>
          <t>Đối chứng</t>
        </is>
      </c>
      <c r="C39" s="2" t="inlineStr">
        <is>
          <t>Có</t>
        </is>
      </c>
      <c r="D39" s="2" t="n"/>
    </row>
    <row r="40">
      <c r="A40" s="2" t="inlineStr">
        <is>
          <t>DC_09</t>
        </is>
      </c>
      <c r="B40" s="2" t="inlineStr">
        <is>
          <t>Đối chứng</t>
        </is>
      </c>
      <c r="C40" s="2" t="inlineStr">
        <is>
          <t>Có</t>
        </is>
      </c>
      <c r="D40" s="2" t="n"/>
    </row>
    <row r="41">
      <c r="A41" s="2" t="inlineStr">
        <is>
          <t>DC_10</t>
        </is>
      </c>
      <c r="B41" s="2" t="inlineStr">
        <is>
          <t>Đối chứng</t>
        </is>
      </c>
      <c r="C41" s="2" t="inlineStr">
        <is>
          <t>Có</t>
        </is>
      </c>
      <c r="D41" s="2" t="n"/>
    </row>
    <row r="42">
      <c r="A42" s="2" t="inlineStr">
        <is>
          <t>DC_11</t>
        </is>
      </c>
      <c r="B42" s="2" t="inlineStr">
        <is>
          <t>Đối chứng</t>
        </is>
      </c>
      <c r="C42" s="2" t="inlineStr">
        <is>
          <t>Có</t>
        </is>
      </c>
      <c r="D42" s="2" t="n"/>
    </row>
    <row r="43">
      <c r="A43" s="2" t="inlineStr">
        <is>
          <t>DC_12</t>
        </is>
      </c>
      <c r="B43" s="2" t="inlineStr">
        <is>
          <t>Đối chứng</t>
        </is>
      </c>
      <c r="C43" s="2" t="inlineStr">
        <is>
          <t>Có</t>
        </is>
      </c>
      <c r="D43" s="2" t="n"/>
    </row>
    <row r="44">
      <c r="A44" s="2" t="inlineStr">
        <is>
          <t>DC_13</t>
        </is>
      </c>
      <c r="B44" s="2" t="inlineStr">
        <is>
          <t>Đối chứng</t>
        </is>
      </c>
      <c r="C44" s="2" t="inlineStr">
        <is>
          <t>Có</t>
        </is>
      </c>
      <c r="D44" s="2" t="n"/>
    </row>
    <row r="45">
      <c r="A45" s="2" t="inlineStr">
        <is>
          <t>DC_14</t>
        </is>
      </c>
      <c r="B45" s="2" t="inlineStr">
        <is>
          <t>Đối chứng</t>
        </is>
      </c>
      <c r="C45" s="2" t="inlineStr">
        <is>
          <t>Có</t>
        </is>
      </c>
      <c r="D45" s="2" t="n"/>
    </row>
    <row r="46">
      <c r="A46" s="2" t="inlineStr">
        <is>
          <t>DC_15</t>
        </is>
      </c>
      <c r="B46" s="2" t="inlineStr">
        <is>
          <t>Đối chứng</t>
        </is>
      </c>
      <c r="C46" s="2" t="inlineStr">
        <is>
          <t>Có</t>
        </is>
      </c>
      <c r="D46" s="2" t="n"/>
    </row>
    <row r="47">
      <c r="A47" s="2" t="inlineStr">
        <is>
          <t>DC_16</t>
        </is>
      </c>
      <c r="B47" s="2" t="inlineStr">
        <is>
          <t>Đối chứng</t>
        </is>
      </c>
      <c r="C47" s="2" t="inlineStr">
        <is>
          <t>Có</t>
        </is>
      </c>
      <c r="D47" s="2" t="n"/>
    </row>
    <row r="48">
      <c r="A48" s="2" t="inlineStr">
        <is>
          <t>DC_17</t>
        </is>
      </c>
      <c r="B48" s="2" t="inlineStr">
        <is>
          <t>Đối chứng</t>
        </is>
      </c>
      <c r="C48" s="2" t="inlineStr">
        <is>
          <t>Có</t>
        </is>
      </c>
      <c r="D48" s="2" t="n"/>
    </row>
    <row r="49">
      <c r="A49" s="2" t="inlineStr">
        <is>
          <t>DC_18</t>
        </is>
      </c>
      <c r="B49" s="2" t="inlineStr">
        <is>
          <t>Đối chứng</t>
        </is>
      </c>
      <c r="C49" s="2" t="inlineStr">
        <is>
          <t>Có</t>
        </is>
      </c>
      <c r="D49" s="2" t="n"/>
    </row>
    <row r="50">
      <c r="A50" s="2" t="inlineStr">
        <is>
          <t>DC_19</t>
        </is>
      </c>
      <c r="B50" s="2" t="inlineStr">
        <is>
          <t>Đối chứng</t>
        </is>
      </c>
      <c r="C50" s="2" t="inlineStr">
        <is>
          <t>Có</t>
        </is>
      </c>
      <c r="D50" s="2" t="n"/>
    </row>
    <row r="51">
      <c r="A51" s="2" t="inlineStr">
        <is>
          <t>DC_20</t>
        </is>
      </c>
      <c r="B51" s="2" t="inlineStr">
        <is>
          <t>Đối chứng</t>
        </is>
      </c>
      <c r="C51" s="2" t="inlineStr">
        <is>
          <t>Có</t>
        </is>
      </c>
      <c r="D51" s="2" t="n"/>
    </row>
    <row r="52">
      <c r="A52" s="2" t="inlineStr">
        <is>
          <t>DC_21</t>
        </is>
      </c>
      <c r="B52" s="2" t="inlineStr">
        <is>
          <t>Đối chứng</t>
        </is>
      </c>
      <c r="C52" s="2" t="inlineStr">
        <is>
          <t>Có</t>
        </is>
      </c>
      <c r="D52" s="2" t="n"/>
    </row>
    <row r="53">
      <c r="A53" s="2" t="inlineStr">
        <is>
          <t>DC_22</t>
        </is>
      </c>
      <c r="B53" s="2" t="inlineStr">
        <is>
          <t>Đối chứng</t>
        </is>
      </c>
      <c r="C53" s="2" t="inlineStr">
        <is>
          <t>Có</t>
        </is>
      </c>
      <c r="D53" s="2" t="n"/>
    </row>
    <row r="54">
      <c r="A54" s="2" t="inlineStr">
        <is>
          <t>DC_23</t>
        </is>
      </c>
      <c r="B54" s="2" t="inlineStr">
        <is>
          <t>Đối chứng</t>
        </is>
      </c>
      <c r="C54" s="2" t="inlineStr">
        <is>
          <t>Có</t>
        </is>
      </c>
      <c r="D54" s="2" t="n"/>
    </row>
    <row r="55">
      <c r="A55" s="2" t="inlineStr">
        <is>
          <t>DC_24</t>
        </is>
      </c>
      <c r="B55" s="2" t="inlineStr">
        <is>
          <t>Đối chứng</t>
        </is>
      </c>
      <c r="C55" s="2" t="inlineStr">
        <is>
          <t>Có</t>
        </is>
      </c>
      <c r="D55" s="2" t="n"/>
    </row>
    <row r="56">
      <c r="A56" s="2" t="inlineStr">
        <is>
          <t>DC_25</t>
        </is>
      </c>
      <c r="B56" s="2" t="inlineStr">
        <is>
          <t>Đối chứng</t>
        </is>
      </c>
      <c r="C56" s="2" t="inlineStr">
        <is>
          <t>Có</t>
        </is>
      </c>
      <c r="D56" s="2" t="n"/>
    </row>
    <row r="57">
      <c r="A57" s="2" t="inlineStr">
        <is>
          <t>DC_26</t>
        </is>
      </c>
      <c r="B57" s="2" t="inlineStr">
        <is>
          <t>Đối chứng</t>
        </is>
      </c>
      <c r="C57" s="2" t="inlineStr">
        <is>
          <t>Có</t>
        </is>
      </c>
      <c r="D57" s="2" t="n"/>
    </row>
    <row r="58">
      <c r="A58" s="2" t="inlineStr">
        <is>
          <t>DC_27</t>
        </is>
      </c>
      <c r="B58" s="2" t="inlineStr">
        <is>
          <t>Đối chứng</t>
        </is>
      </c>
      <c r="C58" s="2" t="inlineStr">
        <is>
          <t>Có</t>
        </is>
      </c>
      <c r="D58" s="2" t="n"/>
    </row>
    <row r="59">
      <c r="A59" s="2" t="inlineStr">
        <is>
          <t>DC_28</t>
        </is>
      </c>
      <c r="B59" s="2" t="inlineStr">
        <is>
          <t>Đối chứng</t>
        </is>
      </c>
      <c r="C59" s="2" t="inlineStr">
        <is>
          <t>Có</t>
        </is>
      </c>
      <c r="D59" s="2" t="n"/>
    </row>
    <row r="60">
      <c r="A60" s="2" t="inlineStr">
        <is>
          <t>DC_29</t>
        </is>
      </c>
      <c r="B60" s="2" t="inlineStr">
        <is>
          <t>Đối chứng</t>
        </is>
      </c>
      <c r="C60" s="2" t="inlineStr">
        <is>
          <t>Có</t>
        </is>
      </c>
      <c r="D60" s="2" t="n"/>
    </row>
    <row r="61">
      <c r="A61" s="2" t="inlineStr">
        <is>
          <t>DC_30</t>
        </is>
      </c>
      <c r="B61" s="2" t="inlineStr">
        <is>
          <t>Đối chứng</t>
        </is>
      </c>
      <c r="C61" s="2" t="inlineStr">
        <is>
          <t>Có</t>
        </is>
      </c>
      <c r="D6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  <col width="30" customWidth="1" min="4" max="4"/>
    <col width="30" customWidth="1" min="5" max="5"/>
    <col width="30" customWidth="1" min="6" max="6"/>
    <col width="30" customWidth="1" min="7" max="7"/>
    <col width="10" customWidth="1" min="8" max="8"/>
  </cols>
  <sheetData>
    <row r="1">
      <c r="A1" s="5" t="inlineStr">
        <is>
          <t>Mã câu</t>
        </is>
      </c>
      <c r="B1" s="5" t="inlineStr">
        <is>
          <t>Cấu phần</t>
        </is>
      </c>
      <c r="C1" s="5" t="inlineStr">
        <is>
          <t>Câu hỏi</t>
        </is>
      </c>
      <c r="D1" s="5" t="inlineStr">
        <is>
          <t>A</t>
        </is>
      </c>
      <c r="E1" s="5" t="inlineStr">
        <is>
          <t>B</t>
        </is>
      </c>
      <c r="F1" s="5" t="inlineStr">
        <is>
          <t>C</t>
        </is>
      </c>
      <c r="G1" s="5" t="inlineStr">
        <is>
          <t>D</t>
        </is>
      </c>
      <c r="H1" s="5" t="inlineStr">
        <is>
          <t>Đáp án</t>
        </is>
      </c>
    </row>
    <row r="2">
      <c r="A2" s="6" t="inlineStr">
        <is>
          <t>PRE01</t>
        </is>
      </c>
      <c r="B2" s="6" t="inlineStr">
        <is>
          <t>Trúng thưởng/quà tặng</t>
        </is>
      </c>
      <c r="C2" s="6" t="inlineStr">
        <is>
          <t>Bạn nhận tin: “Chúc mừng bạn trúng tai nghe, bấm link và đóng 30.000đ phí nhận quà”. Bạn nên làm gì?</t>
        </is>
      </c>
      <c r="D2" s="6" t="inlineStr">
        <is>
          <t>Bấm link vì phí nhỏ</t>
        </is>
      </c>
      <c r="E2" s="6" t="inlineStr">
        <is>
          <t>Chuyển phí để giữ quà</t>
        </is>
      </c>
      <c r="F2" s="6" t="inlineStr">
        <is>
          <t>Không bấm link, kiểm tra chương trình trên kênh chính thức</t>
        </is>
      </c>
      <c r="G2" s="6" t="inlineStr">
        <is>
          <t>Gửi cho bạn bè cùng nhận</t>
        </is>
      </c>
      <c r="H2" s="6" t="inlineStr">
        <is>
          <t>C</t>
        </is>
      </c>
    </row>
    <row r="3">
      <c r="A3" s="6" t="inlineStr">
        <is>
          <t>PRE02</t>
        </is>
      </c>
      <c r="B3" s="6" t="inlineStr">
        <is>
          <t>Trúng thưởng/quà tặng</t>
        </is>
      </c>
      <c r="C3" s="6" t="inlineStr">
        <is>
          <t>Một tài khoản lạ nhắn bạn được nhận voucher 1 triệu nhưng phải nhập thông tin thẻ. Dấu hiệu đáng ngờ nhất là gì?</t>
        </is>
      </c>
      <c r="D3" s="6" t="inlineStr">
        <is>
          <t>Voucher có giá trị lớn</t>
        </is>
      </c>
      <c r="E3" s="6" t="inlineStr">
        <is>
          <t>Yêu cầu nhập thông tin thẻ để nhận quà bất ngờ</t>
        </is>
      </c>
      <c r="F3" s="6" t="inlineStr">
        <is>
          <t>Tin nhắn gửi buổi tối</t>
        </is>
      </c>
      <c r="G3" s="6" t="inlineStr">
        <is>
          <t>Có từ “voucher”</t>
        </is>
      </c>
      <c r="H3" s="6" t="inlineStr">
        <is>
          <t>B</t>
        </is>
      </c>
    </row>
    <row r="4">
      <c r="A4" s="6" t="inlineStr">
        <is>
          <t>PRE03</t>
        </is>
      </c>
      <c r="B4" s="6" t="inlineStr">
        <is>
          <t>OTP/mật khẩu</t>
        </is>
      </c>
      <c r="C4" s="6" t="inlineStr">
        <is>
          <t>Người tự xưng nhân viên ngân hàng hỏi mã OTP để “hủy giao dịch lạ”. Bạn nên làm gì?</t>
        </is>
      </c>
      <c r="D4" s="6" t="inlineStr">
        <is>
          <t>Gửi OTP vì để hủy giao dịch</t>
        </is>
      </c>
      <c r="E4" s="6" t="inlineStr">
        <is>
          <t>Không cung cấp OTP; tự gọi số chính thức của ngân hàng</t>
        </is>
      </c>
      <c r="F4" s="6" t="inlineStr">
        <is>
          <t>Gửi một nửa mã OTP</t>
        </is>
      </c>
      <c r="G4" s="6" t="inlineStr">
        <is>
          <t>Đăng OTP lên nhóm hỏi</t>
        </is>
      </c>
      <c r="H4" s="6" t="inlineStr">
        <is>
          <t>B</t>
        </is>
      </c>
    </row>
    <row r="5">
      <c r="A5" s="6" t="inlineStr">
        <is>
          <t>PRE04</t>
        </is>
      </c>
      <c r="B5" s="6" t="inlineStr">
        <is>
          <t>OTP/mật khẩu</t>
        </is>
      </c>
      <c r="C5" s="6" t="inlineStr">
        <is>
          <t>Tin nhắn nào sau đây an toàn hơn?</t>
        </is>
      </c>
      <c r="D5" s="6" t="inlineStr">
        <is>
          <t>“Gửi mật khẩu để xác minh tài khoản”</t>
        </is>
      </c>
      <c r="E5" s="6" t="inlineStr">
        <is>
          <t>“Nhập OTP vào link này ngay”</t>
        </is>
      </c>
      <c r="F5" s="6" t="inlineStr">
        <is>
          <t>“Không chia sẻ OTP hoặc mật khẩu cho bất kỳ ai”</t>
        </is>
      </c>
      <c r="G5" s="6" t="inlineStr">
        <is>
          <t>“Cho tôi mã xác thực để mở khóa”</t>
        </is>
      </c>
      <c r="H5" s="6" t="inlineStr">
        <is>
          <t>C</t>
        </is>
      </c>
    </row>
    <row r="6">
      <c r="A6" s="6" t="inlineStr">
        <is>
          <t>PRE05</t>
        </is>
      </c>
      <c r="B6" s="6" t="inlineStr">
        <is>
          <t>Đường link/phishing</t>
        </is>
      </c>
      <c r="C6" s="6" t="inlineStr">
        <is>
          <t>Bạn nhận link rút gọn kèm lời nhắn “xem ảnh của bạn ở đây”. Cách xử lý phù hợp nhất?</t>
        </is>
      </c>
      <c r="D6" s="6" t="inlineStr">
        <is>
          <t>Mở ngay vì tò mò</t>
        </is>
      </c>
      <c r="E6" s="6" t="inlineStr">
        <is>
          <t>Không mở; hỏi người gửi qua kênh khác và kiểm tra nguồn</t>
        </is>
      </c>
      <c r="F6" s="6" t="inlineStr">
        <is>
          <t>Đăng nhập bằng tài khoản phụ</t>
        </is>
      </c>
      <c r="G6" s="6" t="inlineStr">
        <is>
          <t>Chuyển link cho bạn thử</t>
        </is>
      </c>
      <c r="H6" s="6" t="inlineStr">
        <is>
          <t>B</t>
        </is>
      </c>
    </row>
    <row r="7">
      <c r="A7" s="6" t="inlineStr">
        <is>
          <t>PRE06</t>
        </is>
      </c>
      <c r="B7" s="6" t="inlineStr">
        <is>
          <t>Đường link/phishing</t>
        </is>
      </c>
      <c r="C7" s="6" t="inlineStr">
        <is>
          <t>Trang đăng nhập mở từ tin nhắn có địa chỉ gần giống trang thật nhưng sai một ký tự. Bạn nên hiểu thế nào?</t>
        </is>
      </c>
      <c r="D7" s="6" t="inlineStr">
        <is>
          <t>Không sao vì giao diện giống</t>
        </is>
      </c>
      <c r="E7" s="6" t="inlineStr">
        <is>
          <t>Có thể là trang giả mạo; không nhập thông tin</t>
        </is>
      </c>
      <c r="F7" s="6" t="inlineStr">
        <is>
          <t>Chỉ cần nhập tên, không nhập mật khẩu</t>
        </is>
      </c>
      <c r="G7" s="6" t="inlineStr">
        <is>
          <t>Dùng nếu có biểu tượng khóa</t>
        </is>
      </c>
      <c r="H7" s="6" t="inlineStr">
        <is>
          <t>B</t>
        </is>
      </c>
    </row>
    <row r="8">
      <c r="A8" s="6" t="inlineStr">
        <is>
          <t>PRE07</t>
        </is>
      </c>
      <c r="B8" s="6" t="inlineStr">
        <is>
          <t>Giả danh người thân</t>
        </is>
      </c>
      <c r="C8" s="6" t="inlineStr">
        <is>
          <t>Tài khoản của anh/chị bạn nhắn “anh đang cần tiền gấp, chuyển ngay 2 triệu”. Cách xử lý tốt nhất?</t>
        </is>
      </c>
      <c r="D8" s="6" t="inlineStr">
        <is>
          <t>Chuyển ngay vì người nhà</t>
        </is>
      </c>
      <c r="E8" s="6" t="inlineStr">
        <is>
          <t>Gọi điện hoặc xác minh bằng kênh khác trước</t>
        </is>
      </c>
      <c r="F8" s="6" t="inlineStr">
        <is>
          <t>Hỏi số tài khoản rồi chuyển</t>
        </is>
      </c>
      <c r="G8" s="6" t="inlineStr">
        <is>
          <t>Nhắn mã OTP để xác minh</t>
        </is>
      </c>
      <c r="H8" s="6" t="inlineStr">
        <is>
          <t>B</t>
        </is>
      </c>
    </row>
    <row r="9">
      <c r="A9" s="6" t="inlineStr">
        <is>
          <t>PRE08</t>
        </is>
      </c>
      <c r="B9" s="6" t="inlineStr">
        <is>
          <t>Giả danh người thân</t>
        </is>
      </c>
      <c r="C9" s="6" t="inlineStr">
        <is>
          <t>Một người dùng ảnh đại diện của bạn thân nhắn xin mã đăng nhập game. Bạn nên làm gì?</t>
        </is>
      </c>
      <c r="D9" s="6" t="inlineStr">
        <is>
          <t>Gửi vì đúng ảnh đại diện</t>
        </is>
      </c>
      <c r="E9" s="6" t="inlineStr">
        <is>
          <t>Không gửi; xác minh danh tính bằng cách khác</t>
        </is>
      </c>
      <c r="F9" s="6" t="inlineStr">
        <is>
          <t>Chỉ gửi 3 số đầu</t>
        </is>
      </c>
      <c r="G9" s="6" t="inlineStr">
        <is>
          <t>Cho mượn tài khoản tạm thời</t>
        </is>
      </c>
      <c r="H9" s="6" t="inlineStr">
        <is>
          <t>B</t>
        </is>
      </c>
    </row>
    <row r="10">
      <c r="A10" s="6" t="inlineStr">
        <is>
          <t>PRE09</t>
        </is>
      </c>
      <c r="B10" s="6" t="inlineStr">
        <is>
          <t>Giả danh tổ chức</t>
        </is>
      </c>
      <c r="C10" s="6" t="inlineStr">
        <is>
          <t>Tin nhắn tự xưng “cơ quan chức năng” yêu cầu chuyển tiền vào “tài khoản an toàn” để kiểm tra. Bạn nên làm gì?</t>
        </is>
      </c>
      <c r="D10" s="6" t="inlineStr">
        <is>
          <t>Làm theo để chứng minh vô tội</t>
        </is>
      </c>
      <c r="E10" s="6" t="inlineStr">
        <is>
          <t>Không chuyển tiền; xác minh qua kênh chính thức và báo người lớn</t>
        </is>
      </c>
      <c r="F10" s="6" t="inlineStr">
        <is>
          <t>Chuyển một phần trước</t>
        </is>
      </c>
      <c r="G10" s="6" t="inlineStr">
        <is>
          <t>Gửi thông tin thẻ để họ kiểm tra</t>
        </is>
      </c>
      <c r="H10" s="6" t="inlineStr">
        <is>
          <t>B</t>
        </is>
      </c>
    </row>
    <row r="11">
      <c r="A11" s="6" t="inlineStr">
        <is>
          <t>PRE10</t>
        </is>
      </c>
      <c r="B11" s="6" t="inlineStr">
        <is>
          <t>Giả danh tổ chức</t>
        </is>
      </c>
      <c r="C11" s="6" t="inlineStr">
        <is>
          <t>Một tài khoản giống tên trường yêu cầu đóng học phí vào tài khoản cá nhân trong 15 phút. Cách xử lý?</t>
        </is>
      </c>
      <c r="D11" s="6" t="inlineStr">
        <is>
          <t>Chuyển ngay để khỏi trễ</t>
        </is>
      </c>
      <c r="E11" s="6" t="inlineStr">
        <is>
          <t>Kiểm tra thông báo chính thức hoặc hỏi giáo viên/nhà trường</t>
        </is>
      </c>
      <c r="F11" s="6" t="inlineStr">
        <is>
          <t>Chuyển một nửa</t>
        </is>
      </c>
      <c r="G11" s="6" t="inlineStr">
        <is>
          <t>Đăng số tài khoản lên nhóm</t>
        </is>
      </c>
      <c r="H11" s="6" t="inlineStr">
        <is>
          <t>B</t>
        </is>
      </c>
    </row>
    <row r="12">
      <c r="A12" s="6" t="inlineStr">
        <is>
          <t>PRE11</t>
        </is>
      </c>
      <c r="B12" s="6" t="inlineStr">
        <is>
          <t>Việc làm/đầu tư</t>
        </is>
      </c>
      <c r="C12" s="6" t="inlineStr">
        <is>
          <t>Tin tuyển cộng tác viên yêu cầu nạp 200.000đ trước rồi hứa hoàn 600.000đ sau nhiệm vụ. Dấu hiệu đáng ngờ?</t>
        </is>
      </c>
      <c r="D12" s="6" t="inlineStr">
        <is>
          <t>Có công việc online</t>
        </is>
      </c>
      <c r="E12" s="6" t="inlineStr">
        <is>
          <t>Yêu cầu nạp tiền trước để nhận hoa hồng cao</t>
        </is>
      </c>
      <c r="F12" s="6" t="inlineStr">
        <is>
          <t>Tin nhắn ngắn</t>
        </is>
      </c>
      <c r="G12" s="6" t="inlineStr">
        <is>
          <t>Có số tiền cụ thể</t>
        </is>
      </c>
      <c r="H12" s="6" t="inlineStr">
        <is>
          <t>B</t>
        </is>
      </c>
    </row>
    <row r="13">
      <c r="A13" s="6" t="inlineStr">
        <is>
          <t>PRE12</t>
        </is>
      </c>
      <c r="B13" s="6" t="inlineStr">
        <is>
          <t>Việc làm/đầu tư</t>
        </is>
      </c>
      <c r="C13" s="6" t="inlineStr">
        <is>
          <t>Một nhóm đầu tư cam kết “lợi nhuận 20% mỗi tuần, không có rủi ro”. Bạn nên làm gì?</t>
        </is>
      </c>
      <c r="D13" s="6" t="inlineStr">
        <is>
          <t>Tham gia thử số tiền nhỏ</t>
        </is>
      </c>
      <c r="E13" s="6" t="inlineStr">
        <is>
          <t>Thận trọng, không chuyển tiền và hỏi người lớn/người có chuyên môn</t>
        </is>
      </c>
      <c r="F13" s="6" t="inlineStr">
        <is>
          <t>Rủ thêm bạn để giảm rủi ro</t>
        </is>
      </c>
      <c r="G13" s="6" t="inlineStr">
        <is>
          <t>Chỉ gửi CCCD trước</t>
        </is>
      </c>
      <c r="H13" s="6" t="inlineStr">
        <is>
          <t>B</t>
        </is>
      </c>
    </row>
    <row r="14">
      <c r="A14" s="6" t="inlineStr">
        <is>
          <t>PRE13</t>
        </is>
      </c>
      <c r="B14" s="6" t="inlineStr">
        <is>
          <t>Khẩn cấp/chuyển tiền</t>
        </is>
      </c>
      <c r="C14" s="6" t="inlineStr">
        <is>
          <t>Tin nhắn “Con em đang cấp cứu, chuyển tiền viện phí ngay vào tài khoản này”. Bạn nên làm gì trước tiên?</t>
        </is>
      </c>
      <c r="D14" s="6" t="inlineStr">
        <is>
          <t>Chuyển tiền ngay</t>
        </is>
      </c>
      <c r="E14" s="6" t="inlineStr">
        <is>
          <t>Xác minh với người thân/bệnh viện qua số chính thức</t>
        </is>
      </c>
      <c r="F14" s="6" t="inlineStr">
        <is>
          <t>Gửi OTP để xác nhận</t>
        </is>
      </c>
      <c r="G14" s="6" t="inlineStr">
        <is>
          <t>Chia sẻ công khai lên mạng</t>
        </is>
      </c>
      <c r="H14" s="6" t="inlineStr">
        <is>
          <t>B</t>
        </is>
      </c>
    </row>
    <row r="15">
      <c r="A15" s="6" t="inlineStr">
        <is>
          <t>PRE14</t>
        </is>
      </c>
      <c r="B15" s="6" t="inlineStr">
        <is>
          <t>Khẩn cấp/chuyển tiền</t>
        </is>
      </c>
      <c r="C15" s="6" t="inlineStr">
        <is>
          <t>Từ nào trong tin nhắn thường được dùng để tạo áp lực khiến người nhận hành động vội?</t>
        </is>
      </c>
      <c r="D15" s="6" t="inlineStr">
        <is>
          <t>Tham khảo</t>
        </is>
      </c>
      <c r="E15" s="6" t="inlineStr">
        <is>
          <t>Khẩn cấp/ngay lập tức/chỉ còn 5 phút</t>
        </is>
      </c>
      <c r="F15" s="6" t="inlineStr">
        <is>
          <t>Xin chào</t>
        </is>
      </c>
      <c r="G15" s="6" t="inlineStr">
        <is>
          <t>Cảm ơn</t>
        </is>
      </c>
      <c r="H15" s="6" t="inlineStr">
        <is>
          <t>B</t>
        </is>
      </c>
    </row>
    <row r="16">
      <c r="A16" s="6" t="inlineStr">
        <is>
          <t>PRE15</t>
        </is>
      </c>
      <c r="B16" s="6" t="inlineStr">
        <is>
          <t>Thông tin cá nhân</t>
        </is>
      </c>
      <c r="C16" s="6" t="inlineStr">
        <is>
          <t>Một biểu mẫu lạ yêu cầu họ tên, CCCD, số thẻ và mật khẩu để “nhận hỗ trợ”. Bạn nên làm gì?</t>
        </is>
      </c>
      <c r="D16" s="6" t="inlineStr">
        <is>
          <t>Điền vì có nhiều mục nên chắc là thật</t>
        </is>
      </c>
      <c r="E16" s="6" t="inlineStr">
        <is>
          <t>Không điền; kiểm tra chương trình trên kênh chính thức</t>
        </is>
      </c>
      <c r="F16" s="6" t="inlineStr">
        <is>
          <t>Điền trừ mật khẩu</t>
        </is>
      </c>
      <c r="G16" s="6" t="inlineStr">
        <is>
          <t>Nhờ bạn điền hộ</t>
        </is>
      </c>
      <c r="H16" s="6" t="inlineStr">
        <is>
          <t>B</t>
        </is>
      </c>
    </row>
    <row r="17">
      <c r="A17" s="6" t="inlineStr">
        <is>
          <t>PRE16</t>
        </is>
      </c>
      <c r="B17" s="6" t="inlineStr">
        <is>
          <t>Thông tin cá nhân</t>
        </is>
      </c>
      <c r="C17" s="6" t="inlineStr">
        <is>
          <t>Thông tin nào tuyệt đối không nên gửi qua tin nhắn cho người lạ?</t>
        </is>
      </c>
      <c r="D17" s="6" t="inlineStr">
        <is>
          <t>Tên môn học yêu thích</t>
        </is>
      </c>
      <c r="E17" s="6" t="inlineStr">
        <is>
          <t>Mã OTP/mật khẩu</t>
        </is>
      </c>
      <c r="F17" s="6" t="inlineStr">
        <is>
          <t>Tên trường</t>
        </is>
      </c>
      <c r="G17" s="6" t="inlineStr">
        <is>
          <t>Sở thích thể thao</t>
        </is>
      </c>
      <c r="H17" s="6" t="inlineStr">
        <is>
          <t>B</t>
        </is>
      </c>
    </row>
    <row r="18">
      <c r="A18" s="6" t="inlineStr">
        <is>
          <t>PRE17</t>
        </is>
      </c>
      <c r="B18" s="6" t="inlineStr">
        <is>
          <t>Mạng xã hội/game</t>
        </is>
      </c>
      <c r="C18" s="6" t="inlineStr">
        <is>
          <t>Bạn nhận tin “tài khoản game vi phạm, gửi mật khẩu để quản trị viên kiểm tra”. Bạn nên làm gì?</t>
        </is>
      </c>
      <c r="D18" s="6" t="inlineStr">
        <is>
          <t>Gửi mật khẩu</t>
        </is>
      </c>
      <c r="E18" s="6" t="inlineStr">
        <is>
          <t>Không gửi; kiểm tra trong ứng dụng/trang hỗ trợ chính thức</t>
        </is>
      </c>
      <c r="F18" s="6" t="inlineStr">
        <is>
          <t>Đổi mật khẩu rồi gửi mật khẩu mới</t>
        </is>
      </c>
      <c r="G18" s="6" t="inlineStr">
        <is>
          <t>Cho bạn đăng nhập hộ</t>
        </is>
      </c>
      <c r="H18" s="6" t="inlineStr">
        <is>
          <t>B</t>
        </is>
      </c>
    </row>
    <row r="19">
      <c r="A19" s="6" t="inlineStr">
        <is>
          <t>PRE18</t>
        </is>
      </c>
      <c r="B19" s="6" t="inlineStr">
        <is>
          <t>Mạng xã hội/game</t>
        </is>
      </c>
      <c r="C19" s="6" t="inlineStr">
        <is>
          <t>Bạn được mời đăng nhập mạng xã hội qua link để bình chọn cho bạn bè. Cách an toàn hơn?</t>
        </is>
      </c>
      <c r="D19" s="6" t="inlineStr">
        <is>
          <t>Đăng nhập ngay</t>
        </is>
      </c>
      <c r="E19" s="6" t="inlineStr">
        <is>
          <t>Không dùng link lạ; tìm cuộc bình chọn từ kênh chính thức</t>
        </is>
      </c>
      <c r="F19" s="6" t="inlineStr">
        <is>
          <t>Dùng cùng mật khẩu đang có</t>
        </is>
      </c>
      <c r="G19" s="6" t="inlineStr">
        <is>
          <t>Đăng nhập bằng máy người khác</t>
        </is>
      </c>
      <c r="H19" s="6" t="inlineStr">
        <is>
          <t>B</t>
        </is>
      </c>
    </row>
    <row r="20">
      <c r="A20" s="6" t="inlineStr">
        <is>
          <t>PRE19</t>
        </is>
      </c>
      <c r="B20" s="6" t="inlineStr">
        <is>
          <t>Đánh giá thông điệp an toàn</t>
        </is>
      </c>
      <c r="C20" s="6" t="inlineStr">
        <is>
          <t>Tin nhắn: “Nhà trường nhắc học sinh không bấm link lạ và không chia sẻ OTP”. Bạn nên đánh giá thế nào?</t>
        </is>
      </c>
      <c r="D20" s="6" t="inlineStr">
        <is>
          <t>Nguy hiểm vì có từ OTP</t>
        </is>
      </c>
      <c r="E20" s="6" t="inlineStr">
        <is>
          <t>Nội dung mang tính cảnh báo an toàn; vẫn nên kiểm tra nguồn gửi nếu cần</t>
        </is>
      </c>
      <c r="F20" s="6" t="inlineStr">
        <is>
          <t>Chắc chắn là lừa đảo</t>
        </is>
      </c>
      <c r="G20" s="6" t="inlineStr">
        <is>
          <t>Phải xóa ngay</t>
        </is>
      </c>
      <c r="H20" s="6" t="inlineStr">
        <is>
          <t>B</t>
        </is>
      </c>
    </row>
    <row r="21">
      <c r="A21" s="6" t="inlineStr">
        <is>
          <t>PRE20</t>
        </is>
      </c>
      <c r="B21" s="6" t="inlineStr">
        <is>
          <t>Đánh giá thông điệp an toàn</t>
        </is>
      </c>
      <c r="C21" s="6" t="inlineStr">
        <is>
          <t>Khi chưa chắc một tin nhắn có đáng tin hay không, nguyên tắc tốt nhất là gì?</t>
        </is>
      </c>
      <c r="D21" s="6" t="inlineStr">
        <is>
          <t>Hành động nhanh để không lỡ cơ hội</t>
        </is>
      </c>
      <c r="E21" s="6" t="inlineStr">
        <is>
          <t>Dừng lại, kiểm tra nguồn, xác minh bằng kênh khác rồi mới hành động</t>
        </is>
      </c>
      <c r="F21" s="6" t="inlineStr">
        <is>
          <t>Hỏi người gửi xem có thật không là đủ</t>
        </is>
      </c>
      <c r="G21" s="6" t="inlineStr">
        <is>
          <t>Chỉ cần xem ảnh đại diện</t>
        </is>
      </c>
      <c r="H21" s="6" t="inlineStr">
        <is>
          <t>B</t>
        </is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  <col width="30" customWidth="1" min="4" max="4"/>
    <col width="30" customWidth="1" min="5" max="5"/>
    <col width="30" customWidth="1" min="6" max="6"/>
    <col width="30" customWidth="1" min="7" max="7"/>
    <col width="10" customWidth="1" min="8" max="8"/>
  </cols>
  <sheetData>
    <row r="1">
      <c r="A1" s="5" t="inlineStr">
        <is>
          <t>Mã câu</t>
        </is>
      </c>
      <c r="B1" s="5" t="inlineStr">
        <is>
          <t>Cấu phần</t>
        </is>
      </c>
      <c r="C1" s="5" t="inlineStr">
        <is>
          <t>Câu hỏi</t>
        </is>
      </c>
      <c r="D1" s="5" t="inlineStr">
        <is>
          <t>A</t>
        </is>
      </c>
      <c r="E1" s="5" t="inlineStr">
        <is>
          <t>B</t>
        </is>
      </c>
      <c r="F1" s="5" t="inlineStr">
        <is>
          <t>C</t>
        </is>
      </c>
      <c r="G1" s="5" t="inlineStr">
        <is>
          <t>D</t>
        </is>
      </c>
      <c r="H1" s="5" t="inlineStr">
        <is>
          <t>Đáp án</t>
        </is>
      </c>
    </row>
    <row r="2">
      <c r="A2" s="6" t="inlineStr">
        <is>
          <t>POST01</t>
        </is>
      </c>
      <c r="B2" s="6" t="inlineStr">
        <is>
          <t>Trúng thưởng/quà tặng</t>
        </is>
      </c>
      <c r="C2" s="6" t="inlineStr">
        <is>
          <t>Bạn nhận tin “trúng vé xem phim miễn phí”, yêu cầu thanh toán phí kích hoạt qua link. Bạn nên làm gì?</t>
        </is>
      </c>
      <c r="D2" s="6" t="inlineStr">
        <is>
          <t>Thanh toán vì phí nhỏ</t>
        </is>
      </c>
      <c r="E2" s="6" t="inlineStr">
        <is>
          <t>Không bấm link; kiểm tra chương trình trên kênh chính thức</t>
        </is>
      </c>
      <c r="F2" s="6" t="inlineStr">
        <is>
          <t>Chuyển cho bạn bè cùng thử</t>
        </is>
      </c>
      <c r="G2" s="6" t="inlineStr">
        <is>
          <t>Nhập thông tin thẻ trước rồi quyết định</t>
        </is>
      </c>
      <c r="H2" s="6" t="inlineStr">
        <is>
          <t>B</t>
        </is>
      </c>
    </row>
    <row r="3">
      <c r="A3" s="6" t="inlineStr">
        <is>
          <t>POST02</t>
        </is>
      </c>
      <c r="B3" s="6" t="inlineStr">
        <is>
          <t>Trúng thưởng/quà tặng</t>
        </is>
      </c>
      <c r="C3" s="6" t="inlineStr">
        <is>
          <t>Một trang lạ nói bạn nhận quà sinh nhật và yêu cầu số thẻ ngân hàng. Dấu hiệu đáng ngờ nhất?</t>
        </is>
      </c>
      <c r="D3" s="6" t="inlineStr">
        <is>
          <t>Quà sinh nhật</t>
        </is>
      </c>
      <c r="E3" s="6" t="inlineStr">
        <is>
          <t>Yêu cầu thông tin tài chính để nhận quà bất ngờ</t>
        </is>
      </c>
      <c r="F3" s="6" t="inlineStr">
        <is>
          <t>Có hình ảnh đẹp</t>
        </is>
      </c>
      <c r="G3" s="6" t="inlineStr">
        <is>
          <t>Tin nhắn gửi ban ngày</t>
        </is>
      </c>
      <c r="H3" s="6" t="inlineStr">
        <is>
          <t>B</t>
        </is>
      </c>
    </row>
    <row r="4">
      <c r="A4" s="6" t="inlineStr">
        <is>
          <t>POST03</t>
        </is>
      </c>
      <c r="B4" s="6" t="inlineStr">
        <is>
          <t>OTP/mật khẩu</t>
        </is>
      </c>
      <c r="C4" s="6" t="inlineStr">
        <is>
          <t>Người tự xưng hỗ trợ ví điện tử yêu cầu đọc mã xác thực vừa gửi về máy. Bạn nên làm gì?</t>
        </is>
      </c>
      <c r="D4" s="6" t="inlineStr">
        <is>
          <t>Đọc mã để được hỗ trợ</t>
        </is>
      </c>
      <c r="E4" s="6" t="inlineStr">
        <is>
          <t>Không cung cấp; liên hệ hỗ trợ từ ứng dụng chính thức</t>
        </is>
      </c>
      <c r="F4" s="6" t="inlineStr">
        <is>
          <t>Chỉ đọc 4 số đầu</t>
        </is>
      </c>
      <c r="G4" s="6" t="inlineStr">
        <is>
          <t>Gửi ảnh màn hình mã</t>
        </is>
      </c>
      <c r="H4" s="6" t="inlineStr">
        <is>
          <t>B</t>
        </is>
      </c>
    </row>
    <row r="5">
      <c r="A5" s="6" t="inlineStr">
        <is>
          <t>POST04</t>
        </is>
      </c>
      <c r="B5" s="6" t="inlineStr">
        <is>
          <t>OTP/mật khẩu</t>
        </is>
      </c>
      <c r="C5" s="6" t="inlineStr">
        <is>
          <t>Thông điệp nào sau đây chủ yếu là lời khuyên an toàn?</t>
        </is>
      </c>
      <c r="D5" s="6" t="inlineStr">
        <is>
          <t>“Gửi OTP cho tôi để hoàn tiền”</t>
        </is>
      </c>
      <c r="E5" s="6" t="inlineStr">
        <is>
          <t>“Không cung cấp mật khẩu hay mã xác thực cho người khác”</t>
        </is>
      </c>
      <c r="F5" s="6" t="inlineStr">
        <is>
          <t>“Nhập mật khẩu tại link này”</t>
        </is>
      </c>
      <c r="G5" s="6" t="inlineStr">
        <is>
          <t>“Cho tôi mã đăng nhập để kiểm tra”</t>
        </is>
      </c>
      <c r="H5" s="6" t="inlineStr">
        <is>
          <t>B</t>
        </is>
      </c>
    </row>
    <row r="6">
      <c r="A6" s="6" t="inlineStr">
        <is>
          <t>POST05</t>
        </is>
      </c>
      <c r="B6" s="6" t="inlineStr">
        <is>
          <t>Đường link/phishing</t>
        </is>
      </c>
      <c r="C6" s="6" t="inlineStr">
        <is>
          <t>Bạn nhận email có nút “Xem điểm thi”, địa chỉ trang mở ra sai chính tả tên miền trường. Bạn nên làm gì?</t>
        </is>
      </c>
      <c r="D6" s="6" t="inlineStr">
        <is>
          <t>Đăng nhập vì nội dung liên quan trường</t>
        </is>
      </c>
      <c r="E6" s="6" t="inlineStr">
        <is>
          <t>Đóng trang và truy cập cổng chính thức của trường</t>
        </is>
      </c>
      <c r="F6" s="6" t="inlineStr">
        <is>
          <t>Thử mật khẩu cũ</t>
        </is>
      </c>
      <c r="G6" s="6" t="inlineStr">
        <is>
          <t>Gửi link cho bạn kiểm tra</t>
        </is>
      </c>
      <c r="H6" s="6" t="inlineStr">
        <is>
          <t>B</t>
        </is>
      </c>
    </row>
    <row r="7">
      <c r="A7" s="6" t="inlineStr">
        <is>
          <t>POST06</t>
        </is>
      </c>
      <c r="B7" s="6" t="inlineStr">
        <is>
          <t>Đường link/phishing</t>
        </is>
      </c>
      <c r="C7" s="6" t="inlineStr">
        <is>
          <t>Một đường link có giao diện giống ngân hàng nhưng tên miền rất lạ. Điều phù hợp nhất là?</t>
        </is>
      </c>
      <c r="D7" s="6" t="inlineStr">
        <is>
          <t>Giao diện giống thì có thể dùng</t>
        </is>
      </c>
      <c r="E7" s="6" t="inlineStr">
        <is>
          <t>Không nhập thông tin; tự mở app/website ngân hàng</t>
        </is>
      </c>
      <c r="F7" s="6" t="inlineStr">
        <is>
          <t>Chỉ nhập số điện thoại</t>
        </is>
      </c>
      <c r="G7" s="6" t="inlineStr">
        <is>
          <t>Dùng nếu trang tải nhanh</t>
        </is>
      </c>
      <c r="H7" s="6" t="inlineStr">
        <is>
          <t>B</t>
        </is>
      </c>
    </row>
    <row r="8">
      <c r="A8" s="6" t="inlineStr">
        <is>
          <t>POST07</t>
        </is>
      </c>
      <c r="B8" s="6" t="inlineStr">
        <is>
          <t>Giả danh người thân</t>
        </is>
      </c>
      <c r="C8" s="6" t="inlineStr">
        <is>
          <t>Tài khoản của mẹ bạn nhắn mượn tiền nhưng cách nói khác thường. Bạn nên làm gì?</t>
        </is>
      </c>
      <c r="D8" s="6" t="inlineStr">
        <is>
          <t>Chuyển vì đúng tài khoản</t>
        </is>
      </c>
      <c r="E8" s="6" t="inlineStr">
        <is>
          <t>Gọi trực tiếp cho mẹ hoặc người thân khác để xác minh</t>
        </is>
      </c>
      <c r="F8" s="6" t="inlineStr">
        <is>
          <t>Hỏi số tài khoản rồi chuyển</t>
        </is>
      </c>
      <c r="G8" s="6" t="inlineStr">
        <is>
          <t>Gửi ảnh CCCD để xác nhận</t>
        </is>
      </c>
      <c r="H8" s="6" t="inlineStr">
        <is>
          <t>B</t>
        </is>
      </c>
    </row>
    <row r="9">
      <c r="A9" s="6" t="inlineStr">
        <is>
          <t>POST08</t>
        </is>
      </c>
      <c r="B9" s="6" t="inlineStr">
        <is>
          <t>Giả danh người thân</t>
        </is>
      </c>
      <c r="C9" s="6" t="inlineStr">
        <is>
          <t>Bạn thân nhắn từ tài khoản mới xin mã đăng nhập mạng xã hội. Cách xử lý?</t>
        </is>
      </c>
      <c r="D9" s="6" t="inlineStr">
        <is>
          <t>Gửi vì họ nói đúng tên bạn</t>
        </is>
      </c>
      <c r="E9" s="6" t="inlineStr">
        <is>
          <t>Không gửi mã; liên hệ bạn qua kênh quen thuộc</t>
        </is>
      </c>
      <c r="F9" s="6" t="inlineStr">
        <is>
          <t>Gửi sau 5 phút</t>
        </is>
      </c>
      <c r="G9" s="6" t="inlineStr">
        <is>
          <t>Cho mượn mật khẩu thay vì mã</t>
        </is>
      </c>
      <c r="H9" s="6" t="inlineStr">
        <is>
          <t>B</t>
        </is>
      </c>
    </row>
    <row r="10">
      <c r="A10" s="6" t="inlineStr">
        <is>
          <t>POST09</t>
        </is>
      </c>
      <c r="B10" s="6" t="inlineStr">
        <is>
          <t>Giả danh tổ chức</t>
        </is>
      </c>
      <c r="C10" s="6" t="inlineStr">
        <is>
          <t>Tin tự xưng “bưu điện” yêu cầu nhập thông tin thẻ để nhận bưu phẩm chưa rõ nguồn. Bạn nên làm gì?</t>
        </is>
      </c>
      <c r="D10" s="6" t="inlineStr">
        <is>
          <t>Nhập để kiểm tra</t>
        </is>
      </c>
      <c r="E10" s="6" t="inlineStr">
        <is>
          <t>Tra cứu qua kênh bưu điện chính thức, không nhập thông tin trên link lạ</t>
        </is>
      </c>
      <c r="F10" s="6" t="inlineStr">
        <is>
          <t>Thanh toán thử</t>
        </is>
      </c>
      <c r="G10" s="6" t="inlineStr">
        <is>
          <t>Gửi mã OTP sau</t>
        </is>
      </c>
      <c r="H10" s="6" t="inlineStr">
        <is>
          <t>B</t>
        </is>
      </c>
    </row>
    <row r="11">
      <c r="A11" s="6" t="inlineStr">
        <is>
          <t>POST10</t>
        </is>
      </c>
      <c r="B11" s="6" t="inlineStr">
        <is>
          <t>Giả danh tổ chức</t>
        </is>
      </c>
      <c r="C11" s="6" t="inlineStr">
        <is>
          <t>Một tài khoản dùng logo trường thông báo “đóng quỹ ngay vào tài khoản cá nhân”. Bạn nên làm gì?</t>
        </is>
      </c>
      <c r="D11" s="6" t="inlineStr">
        <is>
          <t>Chuyển ngay</t>
        </is>
      </c>
      <c r="E11" s="6" t="inlineStr">
        <is>
          <t>Xác minh với giáo viên/nhà trường bằng kênh chính thức</t>
        </is>
      </c>
      <c r="F11" s="6" t="inlineStr">
        <is>
          <t>Chuyển ít trước</t>
        </is>
      </c>
      <c r="G11" s="6" t="inlineStr">
        <is>
          <t>Hỏi chính tài khoản đó xem có thật không</t>
        </is>
      </c>
      <c r="H11" s="6" t="inlineStr">
        <is>
          <t>B</t>
        </is>
      </c>
    </row>
    <row r="12">
      <c r="A12" s="6" t="inlineStr">
        <is>
          <t>POST11</t>
        </is>
      </c>
      <c r="B12" s="6" t="inlineStr">
        <is>
          <t>Việc làm/đầu tư</t>
        </is>
      </c>
      <c r="C12" s="6" t="inlineStr">
        <is>
          <t>Tin việc làm online hứa 1 triệu/ngày nhưng yêu cầu mua “gói nhiệm vụ” trước. Bạn nên đánh giá thế nào?</t>
        </is>
      </c>
      <c r="D12" s="6" t="inlineStr">
        <is>
          <t>Cơ hội tốt</t>
        </is>
      </c>
      <c r="E12" s="6" t="inlineStr">
        <is>
          <t>Rủi ro cao vì yêu cầu trả tiền trước</t>
        </is>
      </c>
      <c r="F12" s="6" t="inlineStr">
        <is>
          <t>An toàn nếu số tiền nhỏ</t>
        </is>
      </c>
      <c r="G12" s="6" t="inlineStr">
        <is>
          <t>Chỉ cần xem bình luận là đủ</t>
        </is>
      </c>
      <c r="H12" s="6" t="inlineStr">
        <is>
          <t>B</t>
        </is>
      </c>
    </row>
    <row r="13">
      <c r="A13" s="6" t="inlineStr">
        <is>
          <t>POST12</t>
        </is>
      </c>
      <c r="B13" s="6" t="inlineStr">
        <is>
          <t>Việc làm/đầu tư</t>
        </is>
      </c>
      <c r="C13" s="6" t="inlineStr">
        <is>
          <t>Một kênh đầu tư khẳng định “lãi cố định 15%/tuần và hoàn vốn 100%”. Cách xử lý phù hợp?</t>
        </is>
      </c>
      <c r="D13" s="6" t="inlineStr">
        <is>
          <t>Thử một ít</t>
        </is>
      </c>
      <c r="E13" s="6" t="inlineStr">
        <is>
          <t>Không chuyển tiền; tìm hiểu nguồn và trao đổi với người lớn/người có chuyên môn</t>
        </is>
      </c>
      <c r="F13" s="6" t="inlineStr">
        <is>
          <t>Mượn tiền để đầu tư</t>
        </is>
      </c>
      <c r="G13" s="6" t="inlineStr">
        <is>
          <t>Chỉ gửi thông tin cá nhân trước</t>
        </is>
      </c>
      <c r="H13" s="6" t="inlineStr">
        <is>
          <t>B</t>
        </is>
      </c>
    </row>
    <row r="14">
      <c r="A14" s="6" t="inlineStr">
        <is>
          <t>POST13</t>
        </is>
      </c>
      <c r="B14" s="6" t="inlineStr">
        <is>
          <t>Khẩn cấp/chuyển tiền</t>
        </is>
      </c>
      <c r="C14" s="6" t="inlineStr">
        <is>
          <t>Bạn nhận cuộc gọi/tin nhắn nói người thân gặp tai nạn và cần chuyển tiền ngay. Việc đầu tiên?</t>
        </is>
      </c>
      <c r="D14" s="6" t="inlineStr">
        <is>
          <t>Chuyển ngay</t>
        </is>
      </c>
      <c r="E14" s="6" t="inlineStr">
        <is>
          <t>Bình tĩnh, gọi xác minh người thân/cơ sở liên quan qua số tin cậy</t>
        </is>
      </c>
      <c r="F14" s="6" t="inlineStr">
        <is>
          <t>Đăng bài hỏi cộng đồng</t>
        </is>
      </c>
      <c r="G14" s="6" t="inlineStr">
        <is>
          <t>Gửi thông tin tài khoản của mình</t>
        </is>
      </c>
      <c r="H14" s="6" t="inlineStr">
        <is>
          <t>B</t>
        </is>
      </c>
    </row>
    <row r="15">
      <c r="A15" s="6" t="inlineStr">
        <is>
          <t>POST14</t>
        </is>
      </c>
      <c r="B15" s="6" t="inlineStr">
        <is>
          <t>Khẩn cấp/chuyển tiền</t>
        </is>
      </c>
      <c r="C15" s="6" t="inlineStr">
        <is>
          <t>Tin “tài khoản sẽ bị khóa sau 3 phút nếu không làm theo” đang dùng thủ thuật gì?</t>
        </is>
      </c>
      <c r="D15" s="6" t="inlineStr">
        <is>
          <t>Cung cấp thông tin đầy đủ</t>
        </is>
      </c>
      <c r="E15" s="6" t="inlineStr">
        <is>
          <t>Tạo áp lực thời gian để người nhận mất bình tĩnh</t>
        </is>
      </c>
      <c r="F15" s="6" t="inlineStr">
        <is>
          <t>Giải thích rõ quy trình</t>
        </is>
      </c>
      <c r="G15" s="6" t="inlineStr">
        <is>
          <t>Khuyến khích đọc kỹ</t>
        </is>
      </c>
      <c r="H15" s="6" t="inlineStr">
        <is>
          <t>B</t>
        </is>
      </c>
    </row>
    <row r="16">
      <c r="A16" s="6" t="inlineStr">
        <is>
          <t>POST15</t>
        </is>
      </c>
      <c r="B16" s="6" t="inlineStr">
        <is>
          <t>Thông tin cá nhân</t>
        </is>
      </c>
      <c r="C16" s="6" t="inlineStr">
        <is>
          <t>Một đường dẫn khảo sát lạ yêu cầu số CCCD, tài khoản ngân hàng và mật khẩu. Bạn nên làm gì?</t>
        </is>
      </c>
      <c r="D16" s="6" t="inlineStr">
        <is>
          <t>Điền để hoàn thành khảo sát</t>
        </is>
      </c>
      <c r="E16" s="6" t="inlineStr">
        <is>
          <t>Không cung cấp và kiểm tra đơn vị tổ chức qua kênh chính thức</t>
        </is>
      </c>
      <c r="F16" s="6" t="inlineStr">
        <is>
          <t>Chỉ điền số CCCD</t>
        </is>
      </c>
      <c r="G16" s="6" t="inlineStr">
        <is>
          <t>Nhờ bạn kiểm tra bằng tài khoản của bạn</t>
        </is>
      </c>
      <c r="H16" s="6" t="inlineStr">
        <is>
          <t>B</t>
        </is>
      </c>
    </row>
    <row r="17">
      <c r="A17" s="6" t="inlineStr">
        <is>
          <t>POST16</t>
        </is>
      </c>
      <c r="B17" s="6" t="inlineStr">
        <is>
          <t>Thông tin cá nhân</t>
        </is>
      </c>
      <c r="C17" s="6" t="inlineStr">
        <is>
          <t>Thông tin nào cần được bảo vệ nghiêm ngặt nhất?</t>
        </is>
      </c>
      <c r="D17" s="6" t="inlineStr">
        <is>
          <t>Môn học yêu thích</t>
        </is>
      </c>
      <c r="E17" s="6" t="inlineStr">
        <is>
          <t>Mật khẩu và mã xác thực</t>
        </is>
      </c>
      <c r="F17" s="6" t="inlineStr">
        <is>
          <t>Tên câu lạc bộ</t>
        </is>
      </c>
      <c r="G17" s="6" t="inlineStr">
        <is>
          <t>Lịch học</t>
        </is>
      </c>
      <c r="H17" s="6" t="inlineStr">
        <is>
          <t>B</t>
        </is>
      </c>
    </row>
    <row r="18">
      <c r="A18" s="6" t="inlineStr">
        <is>
          <t>POST17</t>
        </is>
      </c>
      <c r="B18" s="6" t="inlineStr">
        <is>
          <t>Mạng xã hội/game</t>
        </is>
      </c>
      <c r="C18" s="6" t="inlineStr">
        <is>
          <t>Một “admin game” yêu cầu gửi mật khẩu để nhận vật phẩm miễn phí. Bạn nên làm gì?</t>
        </is>
      </c>
      <c r="D18" s="6" t="inlineStr">
        <is>
          <t>Gửi mật khẩu</t>
        </is>
      </c>
      <c r="E18" s="6" t="inlineStr">
        <is>
          <t>Không gửi; dùng kênh hỗ trợ chính thức của trò chơi</t>
        </is>
      </c>
      <c r="F18" s="6" t="inlineStr">
        <is>
          <t>Đổi mật khẩu tạm thời rồi gửi</t>
        </is>
      </c>
      <c r="G18" s="6" t="inlineStr">
        <is>
          <t>Cho bạn bè thử trước</t>
        </is>
      </c>
      <c r="H18" s="6" t="inlineStr">
        <is>
          <t>B</t>
        </is>
      </c>
    </row>
    <row r="19">
      <c r="A19" s="6" t="inlineStr">
        <is>
          <t>POST18</t>
        </is>
      </c>
      <c r="B19" s="6" t="inlineStr">
        <is>
          <t>Mạng xã hội/game</t>
        </is>
      </c>
      <c r="C19" s="6" t="inlineStr">
        <is>
          <t>Bạn được gửi link “xem ai đã xem hồ sơ của bạn” và phải đăng nhập mạng xã hội. Cách xử lý?</t>
        </is>
      </c>
      <c r="D19" s="6" t="inlineStr">
        <is>
          <t>Đăng nhập để xem thử</t>
        </is>
      </c>
      <c r="E19" s="6" t="inlineStr">
        <is>
          <t>Không đăng nhập qua link lạ; kiểm tra tính năng trong ứng dụng chính thức</t>
        </is>
      </c>
      <c r="F19" s="6" t="inlineStr">
        <is>
          <t>Dùng mật khẩu đơn giản</t>
        </is>
      </c>
      <c r="G19" s="6" t="inlineStr">
        <is>
          <t>Mở bằng Wi-Fi khác</t>
        </is>
      </c>
      <c r="H19" s="6" t="inlineStr">
        <is>
          <t>B</t>
        </is>
      </c>
    </row>
    <row r="20">
      <c r="A20" s="6" t="inlineStr">
        <is>
          <t>POST19</t>
        </is>
      </c>
      <c r="B20" s="6" t="inlineStr">
        <is>
          <t>Đánh giá thông điệp an toàn</t>
        </is>
      </c>
      <c r="C20" s="6" t="inlineStr">
        <is>
          <t>Tin nhắn: “Cô chủ nhiệm nhắc lớp tuyệt đối không chia sẻ mật khẩu và chỉ dùng cổng học tập chính thức”. Đánh giá phù hợp?</t>
        </is>
      </c>
      <c r="D20" s="6" t="inlineStr">
        <is>
          <t>Lừa đảo vì có từ mật khẩu</t>
        </is>
      </c>
      <c r="E20" s="6" t="inlineStr">
        <is>
          <t>Là nội dung hướng dẫn an toàn; có thể xác minh nguồn nếu cần</t>
        </is>
      </c>
      <c r="F20" s="6" t="inlineStr">
        <is>
          <t>Nguy hiểm vì nhắc cổng học tập</t>
        </is>
      </c>
      <c r="G20" s="6" t="inlineStr">
        <is>
          <t>Phải xóa ngay</t>
        </is>
      </c>
      <c r="H20" s="6" t="inlineStr">
        <is>
          <t>B</t>
        </is>
      </c>
    </row>
    <row r="21">
      <c r="A21" s="6" t="inlineStr">
        <is>
          <t>POST20</t>
        </is>
      </c>
      <c r="B21" s="6" t="inlineStr">
        <is>
          <t>Đánh giá thông điệp an toàn</t>
        </is>
      </c>
      <c r="C21" s="6" t="inlineStr">
        <is>
          <t>Khi một tin nhắn vừa hấp dẫn vừa thúc giục bạn hành động, cách tốt nhất là gì?</t>
        </is>
      </c>
      <c r="D21" s="6" t="inlineStr">
        <is>
          <t>Làm ngay trước khi hết hạn</t>
        </is>
      </c>
      <c r="E21" s="6" t="inlineStr">
        <is>
          <t>Dừng lại, kiểm tra nguồn và xác minh độc lập trước khi hành động</t>
        </is>
      </c>
      <c r="F21" s="6" t="inlineStr">
        <is>
          <t>Tin nếu nhiều biểu tượng cảm xúc</t>
        </is>
      </c>
      <c r="G21" s="6" t="inlineStr">
        <is>
          <t>Chỉ hỏi chính người gửi</t>
        </is>
      </c>
      <c r="H21" s="6" t="inlineStr">
        <is>
          <t>B</t>
        </is>
      </c>
    </row>
  </sheetData>
  <autoFilter ref="A1:H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30" customWidth="1" min="9" max="9"/>
  </cols>
  <sheetData>
    <row r="1">
      <c r="A1" s="5" t="inlineStr">
        <is>
          <t>Mã HS</t>
        </is>
      </c>
      <c r="B1" s="5" t="inlineStr">
        <is>
          <t>Nhóm</t>
        </is>
      </c>
      <c r="C1" s="5" t="inlineStr">
        <is>
          <t>Pre (0-20)</t>
        </is>
      </c>
      <c r="D1" s="5" t="inlineStr">
        <is>
          <t>Post (0-20)</t>
        </is>
      </c>
      <c r="E1" s="5" t="inlineStr">
        <is>
          <t>Mức tăng</t>
        </is>
      </c>
      <c r="F1" s="5" t="inlineStr">
        <is>
          <t>Pre %</t>
        </is>
      </c>
      <c r="G1" s="5" t="inlineStr">
        <is>
          <t>Post %</t>
        </is>
      </c>
      <c r="H1" s="5" t="inlineStr">
        <is>
          <t>Tăng điểm %</t>
        </is>
      </c>
      <c r="I1" s="5" t="inlineStr">
        <is>
          <t>Ghi chú</t>
        </is>
      </c>
    </row>
    <row r="2">
      <c r="A2" s="7" t="inlineStr">
        <is>
          <t>TN_01</t>
        </is>
      </c>
      <c r="B2" s="7" t="inlineStr">
        <is>
          <t>Thực nghiệm</t>
        </is>
      </c>
      <c r="C2" s="8" t="inlineStr"/>
      <c r="D2" s="8" t="inlineStr"/>
      <c r="E2" s="9">
        <f>IF(OR(C2="",D2=""),"",D2-C2)</f>
        <v/>
      </c>
      <c r="F2" s="10">
        <f>IF(C2="","",C2/20)</f>
        <v/>
      </c>
      <c r="G2" s="10">
        <f>IF(D2="","",D2/20)</f>
        <v/>
      </c>
      <c r="H2" s="10">
        <f>IF(OR(F2="",G2=""),"",G2-F2)</f>
        <v/>
      </c>
      <c r="I2" s="8" t="inlineStr"/>
    </row>
    <row r="3">
      <c r="A3" s="7" t="inlineStr">
        <is>
          <t>TN_02</t>
        </is>
      </c>
      <c r="B3" s="7" t="inlineStr">
        <is>
          <t>Thực nghiệm</t>
        </is>
      </c>
      <c r="C3" s="8" t="inlineStr"/>
      <c r="D3" s="8" t="inlineStr"/>
      <c r="E3" s="9">
        <f>IF(OR(C3="",D3=""),"",D3-C3)</f>
        <v/>
      </c>
      <c r="F3" s="10">
        <f>IF(C3="","",C3/20)</f>
        <v/>
      </c>
      <c r="G3" s="10">
        <f>IF(D3="","",D3/20)</f>
        <v/>
      </c>
      <c r="H3" s="10">
        <f>IF(OR(F3="",G3=""),"",G3-F3)</f>
        <v/>
      </c>
      <c r="I3" s="8" t="inlineStr"/>
    </row>
    <row r="4">
      <c r="A4" s="7" t="inlineStr">
        <is>
          <t>TN_03</t>
        </is>
      </c>
      <c r="B4" s="7" t="inlineStr">
        <is>
          <t>Thực nghiệm</t>
        </is>
      </c>
      <c r="C4" s="8" t="inlineStr"/>
      <c r="D4" s="8" t="inlineStr"/>
      <c r="E4" s="9">
        <f>IF(OR(C4="",D4=""),"",D4-C4)</f>
        <v/>
      </c>
      <c r="F4" s="10">
        <f>IF(C4="","",C4/20)</f>
        <v/>
      </c>
      <c r="G4" s="10">
        <f>IF(D4="","",D4/20)</f>
        <v/>
      </c>
      <c r="H4" s="10">
        <f>IF(OR(F4="",G4=""),"",G4-F4)</f>
        <v/>
      </c>
      <c r="I4" s="8" t="inlineStr"/>
    </row>
    <row r="5">
      <c r="A5" s="7" t="inlineStr">
        <is>
          <t>TN_04</t>
        </is>
      </c>
      <c r="B5" s="7" t="inlineStr">
        <is>
          <t>Thực nghiệm</t>
        </is>
      </c>
      <c r="C5" s="8" t="inlineStr"/>
      <c r="D5" s="8" t="inlineStr"/>
      <c r="E5" s="9">
        <f>IF(OR(C5="",D5=""),"",D5-C5)</f>
        <v/>
      </c>
      <c r="F5" s="10">
        <f>IF(C5="","",C5/20)</f>
        <v/>
      </c>
      <c r="G5" s="10">
        <f>IF(D5="","",D5/20)</f>
        <v/>
      </c>
      <c r="H5" s="10">
        <f>IF(OR(F5="",G5=""),"",G5-F5)</f>
        <v/>
      </c>
      <c r="I5" s="8" t="inlineStr"/>
    </row>
    <row r="6">
      <c r="A6" s="7" t="inlineStr">
        <is>
          <t>TN_05</t>
        </is>
      </c>
      <c r="B6" s="7" t="inlineStr">
        <is>
          <t>Thực nghiệm</t>
        </is>
      </c>
      <c r="C6" s="8" t="inlineStr"/>
      <c r="D6" s="8" t="inlineStr"/>
      <c r="E6" s="9">
        <f>IF(OR(C6="",D6=""),"",D6-C6)</f>
        <v/>
      </c>
      <c r="F6" s="10">
        <f>IF(C6="","",C6/20)</f>
        <v/>
      </c>
      <c r="G6" s="10">
        <f>IF(D6="","",D6/20)</f>
        <v/>
      </c>
      <c r="H6" s="10">
        <f>IF(OR(F6="",G6=""),"",G6-F6)</f>
        <v/>
      </c>
      <c r="I6" s="8" t="inlineStr"/>
    </row>
    <row r="7">
      <c r="A7" s="7" t="inlineStr">
        <is>
          <t>TN_06</t>
        </is>
      </c>
      <c r="B7" s="7" t="inlineStr">
        <is>
          <t>Thực nghiệm</t>
        </is>
      </c>
      <c r="C7" s="8" t="inlineStr"/>
      <c r="D7" s="8" t="inlineStr"/>
      <c r="E7" s="9">
        <f>IF(OR(C7="",D7=""),"",D7-C7)</f>
        <v/>
      </c>
      <c r="F7" s="10">
        <f>IF(C7="","",C7/20)</f>
        <v/>
      </c>
      <c r="G7" s="10">
        <f>IF(D7="","",D7/20)</f>
        <v/>
      </c>
      <c r="H7" s="10">
        <f>IF(OR(F7="",G7=""),"",G7-F7)</f>
        <v/>
      </c>
      <c r="I7" s="8" t="inlineStr"/>
    </row>
    <row r="8">
      <c r="A8" s="7" t="inlineStr">
        <is>
          <t>TN_07</t>
        </is>
      </c>
      <c r="B8" s="7" t="inlineStr">
        <is>
          <t>Thực nghiệm</t>
        </is>
      </c>
      <c r="C8" s="8" t="inlineStr"/>
      <c r="D8" s="8" t="inlineStr"/>
      <c r="E8" s="9">
        <f>IF(OR(C8="",D8=""),"",D8-C8)</f>
        <v/>
      </c>
      <c r="F8" s="10">
        <f>IF(C8="","",C8/20)</f>
        <v/>
      </c>
      <c r="G8" s="10">
        <f>IF(D8="","",D8/20)</f>
        <v/>
      </c>
      <c r="H8" s="10">
        <f>IF(OR(F8="",G8=""),"",G8-F8)</f>
        <v/>
      </c>
      <c r="I8" s="8" t="inlineStr"/>
    </row>
    <row r="9">
      <c r="A9" s="7" t="inlineStr">
        <is>
          <t>TN_08</t>
        </is>
      </c>
      <c r="B9" s="7" t="inlineStr">
        <is>
          <t>Thực nghiệm</t>
        </is>
      </c>
      <c r="C9" s="8" t="inlineStr"/>
      <c r="D9" s="8" t="inlineStr"/>
      <c r="E9" s="9">
        <f>IF(OR(C9="",D9=""),"",D9-C9)</f>
        <v/>
      </c>
      <c r="F9" s="10">
        <f>IF(C9="","",C9/20)</f>
        <v/>
      </c>
      <c r="G9" s="10">
        <f>IF(D9="","",D9/20)</f>
        <v/>
      </c>
      <c r="H9" s="10">
        <f>IF(OR(F9="",G9=""),"",G9-F9)</f>
        <v/>
      </c>
      <c r="I9" s="8" t="inlineStr"/>
    </row>
    <row r="10">
      <c r="A10" s="7" t="inlineStr">
        <is>
          <t>TN_09</t>
        </is>
      </c>
      <c r="B10" s="7" t="inlineStr">
        <is>
          <t>Thực nghiệm</t>
        </is>
      </c>
      <c r="C10" s="8" t="inlineStr"/>
      <c r="D10" s="8" t="inlineStr"/>
      <c r="E10" s="9">
        <f>IF(OR(C10="",D10=""),"",D10-C10)</f>
        <v/>
      </c>
      <c r="F10" s="10">
        <f>IF(C10="","",C10/20)</f>
        <v/>
      </c>
      <c r="G10" s="10">
        <f>IF(D10="","",D10/20)</f>
        <v/>
      </c>
      <c r="H10" s="10">
        <f>IF(OR(F10="",G10=""),"",G10-F10)</f>
        <v/>
      </c>
      <c r="I10" s="8" t="inlineStr"/>
    </row>
    <row r="11">
      <c r="A11" s="7" t="inlineStr">
        <is>
          <t>TN_10</t>
        </is>
      </c>
      <c r="B11" s="7" t="inlineStr">
        <is>
          <t>Thực nghiệm</t>
        </is>
      </c>
      <c r="C11" s="8" t="inlineStr"/>
      <c r="D11" s="8" t="inlineStr"/>
      <c r="E11" s="9">
        <f>IF(OR(C11="",D11=""),"",D11-C11)</f>
        <v/>
      </c>
      <c r="F11" s="10">
        <f>IF(C11="","",C11/20)</f>
        <v/>
      </c>
      <c r="G11" s="10">
        <f>IF(D11="","",D11/20)</f>
        <v/>
      </c>
      <c r="H11" s="10">
        <f>IF(OR(F11="",G11=""),"",G11-F11)</f>
        <v/>
      </c>
      <c r="I11" s="8" t="inlineStr"/>
    </row>
    <row r="12">
      <c r="A12" s="7" t="inlineStr">
        <is>
          <t>TN_11</t>
        </is>
      </c>
      <c r="B12" s="7" t="inlineStr">
        <is>
          <t>Thực nghiệm</t>
        </is>
      </c>
      <c r="C12" s="8" t="inlineStr"/>
      <c r="D12" s="8" t="inlineStr"/>
      <c r="E12" s="9">
        <f>IF(OR(C12="",D12=""),"",D12-C12)</f>
        <v/>
      </c>
      <c r="F12" s="10">
        <f>IF(C12="","",C12/20)</f>
        <v/>
      </c>
      <c r="G12" s="10">
        <f>IF(D12="","",D12/20)</f>
        <v/>
      </c>
      <c r="H12" s="10">
        <f>IF(OR(F12="",G12=""),"",G12-F12)</f>
        <v/>
      </c>
      <c r="I12" s="8" t="inlineStr"/>
    </row>
    <row r="13">
      <c r="A13" s="7" t="inlineStr">
        <is>
          <t>TN_12</t>
        </is>
      </c>
      <c r="B13" s="7" t="inlineStr">
        <is>
          <t>Thực nghiệm</t>
        </is>
      </c>
      <c r="C13" s="8" t="inlineStr"/>
      <c r="D13" s="8" t="inlineStr"/>
      <c r="E13" s="9">
        <f>IF(OR(C13="",D13=""),"",D13-C13)</f>
        <v/>
      </c>
      <c r="F13" s="10">
        <f>IF(C13="","",C13/20)</f>
        <v/>
      </c>
      <c r="G13" s="10">
        <f>IF(D13="","",D13/20)</f>
        <v/>
      </c>
      <c r="H13" s="10">
        <f>IF(OR(F13="",G13=""),"",G13-F13)</f>
        <v/>
      </c>
      <c r="I13" s="8" t="inlineStr"/>
    </row>
    <row r="14">
      <c r="A14" s="7" t="inlineStr">
        <is>
          <t>TN_13</t>
        </is>
      </c>
      <c r="B14" s="7" t="inlineStr">
        <is>
          <t>Thực nghiệm</t>
        </is>
      </c>
      <c r="C14" s="8" t="inlineStr"/>
      <c r="D14" s="8" t="inlineStr"/>
      <c r="E14" s="9">
        <f>IF(OR(C14="",D14=""),"",D14-C14)</f>
        <v/>
      </c>
      <c r="F14" s="10">
        <f>IF(C14="","",C14/20)</f>
        <v/>
      </c>
      <c r="G14" s="10">
        <f>IF(D14="","",D14/20)</f>
        <v/>
      </c>
      <c r="H14" s="10">
        <f>IF(OR(F14="",G14=""),"",G14-F14)</f>
        <v/>
      </c>
      <c r="I14" s="8" t="inlineStr"/>
    </row>
    <row r="15">
      <c r="A15" s="7" t="inlineStr">
        <is>
          <t>TN_14</t>
        </is>
      </c>
      <c r="B15" s="7" t="inlineStr">
        <is>
          <t>Thực nghiệm</t>
        </is>
      </c>
      <c r="C15" s="8" t="inlineStr"/>
      <c r="D15" s="8" t="inlineStr"/>
      <c r="E15" s="9">
        <f>IF(OR(C15="",D15=""),"",D15-C15)</f>
        <v/>
      </c>
      <c r="F15" s="10">
        <f>IF(C15="","",C15/20)</f>
        <v/>
      </c>
      <c r="G15" s="10">
        <f>IF(D15="","",D15/20)</f>
        <v/>
      </c>
      <c r="H15" s="10">
        <f>IF(OR(F15="",G15=""),"",G15-F15)</f>
        <v/>
      </c>
      <c r="I15" s="8" t="inlineStr"/>
    </row>
    <row r="16">
      <c r="A16" s="7" t="inlineStr">
        <is>
          <t>TN_15</t>
        </is>
      </c>
      <c r="B16" s="7" t="inlineStr">
        <is>
          <t>Thực nghiệm</t>
        </is>
      </c>
      <c r="C16" s="8" t="inlineStr"/>
      <c r="D16" s="8" t="inlineStr"/>
      <c r="E16" s="9">
        <f>IF(OR(C16="",D16=""),"",D16-C16)</f>
        <v/>
      </c>
      <c r="F16" s="10">
        <f>IF(C16="","",C16/20)</f>
        <v/>
      </c>
      <c r="G16" s="10">
        <f>IF(D16="","",D16/20)</f>
        <v/>
      </c>
      <c r="H16" s="10">
        <f>IF(OR(F16="",G16=""),"",G16-F16)</f>
        <v/>
      </c>
      <c r="I16" s="8" t="inlineStr"/>
    </row>
    <row r="17">
      <c r="A17" s="7" t="inlineStr">
        <is>
          <t>TN_16</t>
        </is>
      </c>
      <c r="B17" s="7" t="inlineStr">
        <is>
          <t>Thực nghiệm</t>
        </is>
      </c>
      <c r="C17" s="8" t="inlineStr"/>
      <c r="D17" s="8" t="inlineStr"/>
      <c r="E17" s="9">
        <f>IF(OR(C17="",D17=""),"",D17-C17)</f>
        <v/>
      </c>
      <c r="F17" s="10">
        <f>IF(C17="","",C17/20)</f>
        <v/>
      </c>
      <c r="G17" s="10">
        <f>IF(D17="","",D17/20)</f>
        <v/>
      </c>
      <c r="H17" s="10">
        <f>IF(OR(F17="",G17=""),"",G17-F17)</f>
        <v/>
      </c>
      <c r="I17" s="8" t="inlineStr"/>
    </row>
    <row r="18">
      <c r="A18" s="7" t="inlineStr">
        <is>
          <t>TN_17</t>
        </is>
      </c>
      <c r="B18" s="7" t="inlineStr">
        <is>
          <t>Thực nghiệm</t>
        </is>
      </c>
      <c r="C18" s="8" t="inlineStr"/>
      <c r="D18" s="8" t="inlineStr"/>
      <c r="E18" s="9">
        <f>IF(OR(C18="",D18=""),"",D18-C18)</f>
        <v/>
      </c>
      <c r="F18" s="10">
        <f>IF(C18="","",C18/20)</f>
        <v/>
      </c>
      <c r="G18" s="10">
        <f>IF(D18="","",D18/20)</f>
        <v/>
      </c>
      <c r="H18" s="10">
        <f>IF(OR(F18="",G18=""),"",G18-F18)</f>
        <v/>
      </c>
      <c r="I18" s="8" t="inlineStr"/>
    </row>
    <row r="19">
      <c r="A19" s="7" t="inlineStr">
        <is>
          <t>TN_18</t>
        </is>
      </c>
      <c r="B19" s="7" t="inlineStr">
        <is>
          <t>Thực nghiệm</t>
        </is>
      </c>
      <c r="C19" s="8" t="inlineStr"/>
      <c r="D19" s="8" t="inlineStr"/>
      <c r="E19" s="9">
        <f>IF(OR(C19="",D19=""),"",D19-C19)</f>
        <v/>
      </c>
      <c r="F19" s="10">
        <f>IF(C19="","",C19/20)</f>
        <v/>
      </c>
      <c r="G19" s="10">
        <f>IF(D19="","",D19/20)</f>
        <v/>
      </c>
      <c r="H19" s="10">
        <f>IF(OR(F19="",G19=""),"",G19-F19)</f>
        <v/>
      </c>
      <c r="I19" s="8" t="inlineStr"/>
    </row>
    <row r="20">
      <c r="A20" s="7" t="inlineStr">
        <is>
          <t>TN_19</t>
        </is>
      </c>
      <c r="B20" s="7" t="inlineStr">
        <is>
          <t>Thực nghiệm</t>
        </is>
      </c>
      <c r="C20" s="8" t="inlineStr"/>
      <c r="D20" s="8" t="inlineStr"/>
      <c r="E20" s="9">
        <f>IF(OR(C20="",D20=""),"",D20-C20)</f>
        <v/>
      </c>
      <c r="F20" s="10">
        <f>IF(C20="","",C20/20)</f>
        <v/>
      </c>
      <c r="G20" s="10">
        <f>IF(D20="","",D20/20)</f>
        <v/>
      </c>
      <c r="H20" s="10">
        <f>IF(OR(F20="",G20=""),"",G20-F20)</f>
        <v/>
      </c>
      <c r="I20" s="8" t="inlineStr"/>
    </row>
    <row r="21">
      <c r="A21" s="7" t="inlineStr">
        <is>
          <t>TN_20</t>
        </is>
      </c>
      <c r="B21" s="7" t="inlineStr">
        <is>
          <t>Thực nghiệm</t>
        </is>
      </c>
      <c r="C21" s="8" t="inlineStr"/>
      <c r="D21" s="8" t="inlineStr"/>
      <c r="E21" s="9">
        <f>IF(OR(C21="",D21=""),"",D21-C21)</f>
        <v/>
      </c>
      <c r="F21" s="10">
        <f>IF(C21="","",C21/20)</f>
        <v/>
      </c>
      <c r="G21" s="10">
        <f>IF(D21="","",D21/20)</f>
        <v/>
      </c>
      <c r="H21" s="10">
        <f>IF(OR(F21="",G21=""),"",G21-F21)</f>
        <v/>
      </c>
      <c r="I21" s="8" t="inlineStr"/>
    </row>
    <row r="22">
      <c r="A22" s="7" t="inlineStr">
        <is>
          <t>TN_21</t>
        </is>
      </c>
      <c r="B22" s="7" t="inlineStr">
        <is>
          <t>Thực nghiệm</t>
        </is>
      </c>
      <c r="C22" s="8" t="inlineStr"/>
      <c r="D22" s="8" t="inlineStr"/>
      <c r="E22" s="9">
        <f>IF(OR(C22="",D22=""),"",D22-C22)</f>
        <v/>
      </c>
      <c r="F22" s="10">
        <f>IF(C22="","",C22/20)</f>
        <v/>
      </c>
      <c r="G22" s="10">
        <f>IF(D22="","",D22/20)</f>
        <v/>
      </c>
      <c r="H22" s="10">
        <f>IF(OR(F22="",G22=""),"",G22-F22)</f>
        <v/>
      </c>
      <c r="I22" s="8" t="inlineStr"/>
    </row>
    <row r="23">
      <c r="A23" s="7" t="inlineStr">
        <is>
          <t>TN_22</t>
        </is>
      </c>
      <c r="B23" s="7" t="inlineStr">
        <is>
          <t>Thực nghiệm</t>
        </is>
      </c>
      <c r="C23" s="8" t="inlineStr"/>
      <c r="D23" s="8" t="inlineStr"/>
      <c r="E23" s="9">
        <f>IF(OR(C23="",D23=""),"",D23-C23)</f>
        <v/>
      </c>
      <c r="F23" s="10">
        <f>IF(C23="","",C23/20)</f>
        <v/>
      </c>
      <c r="G23" s="10">
        <f>IF(D23="","",D23/20)</f>
        <v/>
      </c>
      <c r="H23" s="10">
        <f>IF(OR(F23="",G23=""),"",G23-F23)</f>
        <v/>
      </c>
      <c r="I23" s="8" t="inlineStr"/>
    </row>
    <row r="24">
      <c r="A24" s="7" t="inlineStr">
        <is>
          <t>TN_23</t>
        </is>
      </c>
      <c r="B24" s="7" t="inlineStr">
        <is>
          <t>Thực nghiệm</t>
        </is>
      </c>
      <c r="C24" s="8" t="inlineStr"/>
      <c r="D24" s="8" t="inlineStr"/>
      <c r="E24" s="9">
        <f>IF(OR(C24="",D24=""),"",D24-C24)</f>
        <v/>
      </c>
      <c r="F24" s="10">
        <f>IF(C24="","",C24/20)</f>
        <v/>
      </c>
      <c r="G24" s="10">
        <f>IF(D24="","",D24/20)</f>
        <v/>
      </c>
      <c r="H24" s="10">
        <f>IF(OR(F24="",G24=""),"",G24-F24)</f>
        <v/>
      </c>
      <c r="I24" s="8" t="inlineStr"/>
    </row>
    <row r="25">
      <c r="A25" s="7" t="inlineStr">
        <is>
          <t>TN_24</t>
        </is>
      </c>
      <c r="B25" s="7" t="inlineStr">
        <is>
          <t>Thực nghiệm</t>
        </is>
      </c>
      <c r="C25" s="8" t="inlineStr"/>
      <c r="D25" s="8" t="inlineStr"/>
      <c r="E25" s="9">
        <f>IF(OR(C25="",D25=""),"",D25-C25)</f>
        <v/>
      </c>
      <c r="F25" s="10">
        <f>IF(C25="","",C25/20)</f>
        <v/>
      </c>
      <c r="G25" s="10">
        <f>IF(D25="","",D25/20)</f>
        <v/>
      </c>
      <c r="H25" s="10">
        <f>IF(OR(F25="",G25=""),"",G25-F25)</f>
        <v/>
      </c>
      <c r="I25" s="8" t="inlineStr"/>
    </row>
    <row r="26">
      <c r="A26" s="7" t="inlineStr">
        <is>
          <t>TN_25</t>
        </is>
      </c>
      <c r="B26" s="7" t="inlineStr">
        <is>
          <t>Thực nghiệm</t>
        </is>
      </c>
      <c r="C26" s="8" t="inlineStr"/>
      <c r="D26" s="8" t="inlineStr"/>
      <c r="E26" s="9">
        <f>IF(OR(C26="",D26=""),"",D26-C26)</f>
        <v/>
      </c>
      <c r="F26" s="10">
        <f>IF(C26="","",C26/20)</f>
        <v/>
      </c>
      <c r="G26" s="10">
        <f>IF(D26="","",D26/20)</f>
        <v/>
      </c>
      <c r="H26" s="10">
        <f>IF(OR(F26="",G26=""),"",G26-F26)</f>
        <v/>
      </c>
      <c r="I26" s="8" t="inlineStr"/>
    </row>
    <row r="27">
      <c r="A27" s="7" t="inlineStr">
        <is>
          <t>TN_26</t>
        </is>
      </c>
      <c r="B27" s="7" t="inlineStr">
        <is>
          <t>Thực nghiệm</t>
        </is>
      </c>
      <c r="C27" s="8" t="inlineStr"/>
      <c r="D27" s="8" t="inlineStr"/>
      <c r="E27" s="9">
        <f>IF(OR(C27="",D27=""),"",D27-C27)</f>
        <v/>
      </c>
      <c r="F27" s="10">
        <f>IF(C27="","",C27/20)</f>
        <v/>
      </c>
      <c r="G27" s="10">
        <f>IF(D27="","",D27/20)</f>
        <v/>
      </c>
      <c r="H27" s="10">
        <f>IF(OR(F27="",G27=""),"",G27-F27)</f>
        <v/>
      </c>
      <c r="I27" s="8" t="inlineStr"/>
    </row>
    <row r="28">
      <c r="A28" s="7" t="inlineStr">
        <is>
          <t>TN_27</t>
        </is>
      </c>
      <c r="B28" s="7" t="inlineStr">
        <is>
          <t>Thực nghiệm</t>
        </is>
      </c>
      <c r="C28" s="8" t="inlineStr"/>
      <c r="D28" s="8" t="inlineStr"/>
      <c r="E28" s="9">
        <f>IF(OR(C28="",D28=""),"",D28-C28)</f>
        <v/>
      </c>
      <c r="F28" s="10">
        <f>IF(C28="","",C28/20)</f>
        <v/>
      </c>
      <c r="G28" s="10">
        <f>IF(D28="","",D28/20)</f>
        <v/>
      </c>
      <c r="H28" s="10">
        <f>IF(OR(F28="",G28=""),"",G28-F28)</f>
        <v/>
      </c>
      <c r="I28" s="8" t="inlineStr"/>
    </row>
    <row r="29">
      <c r="A29" s="7" t="inlineStr">
        <is>
          <t>TN_28</t>
        </is>
      </c>
      <c r="B29" s="7" t="inlineStr">
        <is>
          <t>Thực nghiệm</t>
        </is>
      </c>
      <c r="C29" s="8" t="inlineStr"/>
      <c r="D29" s="8" t="inlineStr"/>
      <c r="E29" s="9">
        <f>IF(OR(C29="",D29=""),"",D29-C29)</f>
        <v/>
      </c>
      <c r="F29" s="10">
        <f>IF(C29="","",C29/20)</f>
        <v/>
      </c>
      <c r="G29" s="10">
        <f>IF(D29="","",D29/20)</f>
        <v/>
      </c>
      <c r="H29" s="10">
        <f>IF(OR(F29="",G29=""),"",G29-F29)</f>
        <v/>
      </c>
      <c r="I29" s="8" t="inlineStr"/>
    </row>
    <row r="30">
      <c r="A30" s="7" t="inlineStr">
        <is>
          <t>TN_29</t>
        </is>
      </c>
      <c r="B30" s="7" t="inlineStr">
        <is>
          <t>Thực nghiệm</t>
        </is>
      </c>
      <c r="C30" s="8" t="inlineStr"/>
      <c r="D30" s="8" t="inlineStr"/>
      <c r="E30" s="9">
        <f>IF(OR(C30="",D30=""),"",D30-C30)</f>
        <v/>
      </c>
      <c r="F30" s="10">
        <f>IF(C30="","",C30/20)</f>
        <v/>
      </c>
      <c r="G30" s="10">
        <f>IF(D30="","",D30/20)</f>
        <v/>
      </c>
      <c r="H30" s="10">
        <f>IF(OR(F30="",G30=""),"",G30-F30)</f>
        <v/>
      </c>
      <c r="I30" s="8" t="inlineStr"/>
    </row>
    <row r="31">
      <c r="A31" s="7" t="inlineStr">
        <is>
          <t>TN_30</t>
        </is>
      </c>
      <c r="B31" s="7" t="inlineStr">
        <is>
          <t>Thực nghiệm</t>
        </is>
      </c>
      <c r="C31" s="8" t="inlineStr"/>
      <c r="D31" s="8" t="inlineStr"/>
      <c r="E31" s="9">
        <f>IF(OR(C31="",D31=""),"",D31-C31)</f>
        <v/>
      </c>
      <c r="F31" s="10">
        <f>IF(C31="","",C31/20)</f>
        <v/>
      </c>
      <c r="G31" s="10">
        <f>IF(D31="","",D31/20)</f>
        <v/>
      </c>
      <c r="H31" s="10">
        <f>IF(OR(F31="",G31=""),"",G31-F31)</f>
        <v/>
      </c>
      <c r="I31" s="8" t="inlineStr"/>
    </row>
    <row r="32">
      <c r="A32" s="7" t="inlineStr">
        <is>
          <t>DC_01</t>
        </is>
      </c>
      <c r="B32" s="7" t="inlineStr">
        <is>
          <t>Đối chứng</t>
        </is>
      </c>
      <c r="C32" s="8" t="inlineStr"/>
      <c r="D32" s="8" t="inlineStr"/>
      <c r="E32" s="9">
        <f>IF(OR(C32="",D32=""),"",D32-C32)</f>
        <v/>
      </c>
      <c r="F32" s="10">
        <f>IF(C32="","",C32/20)</f>
        <v/>
      </c>
      <c r="G32" s="10">
        <f>IF(D32="","",D32/20)</f>
        <v/>
      </c>
      <c r="H32" s="10">
        <f>IF(OR(F32="",G32=""),"",G32-F32)</f>
        <v/>
      </c>
      <c r="I32" s="8" t="inlineStr"/>
    </row>
    <row r="33">
      <c r="A33" s="7" t="inlineStr">
        <is>
          <t>DC_02</t>
        </is>
      </c>
      <c r="B33" s="7" t="inlineStr">
        <is>
          <t>Đối chứng</t>
        </is>
      </c>
      <c r="C33" s="8" t="inlineStr"/>
      <c r="D33" s="8" t="inlineStr"/>
      <c r="E33" s="9">
        <f>IF(OR(C33="",D33=""),"",D33-C33)</f>
        <v/>
      </c>
      <c r="F33" s="10">
        <f>IF(C33="","",C33/20)</f>
        <v/>
      </c>
      <c r="G33" s="10">
        <f>IF(D33="","",D33/20)</f>
        <v/>
      </c>
      <c r="H33" s="10">
        <f>IF(OR(F33="",G33=""),"",G33-F33)</f>
        <v/>
      </c>
      <c r="I33" s="8" t="inlineStr"/>
    </row>
    <row r="34">
      <c r="A34" s="7" t="inlineStr">
        <is>
          <t>DC_03</t>
        </is>
      </c>
      <c r="B34" s="7" t="inlineStr">
        <is>
          <t>Đối chứng</t>
        </is>
      </c>
      <c r="C34" s="8" t="inlineStr"/>
      <c r="D34" s="8" t="inlineStr"/>
      <c r="E34" s="9">
        <f>IF(OR(C34="",D34=""),"",D34-C34)</f>
        <v/>
      </c>
      <c r="F34" s="10">
        <f>IF(C34="","",C34/20)</f>
        <v/>
      </c>
      <c r="G34" s="10">
        <f>IF(D34="","",D34/20)</f>
        <v/>
      </c>
      <c r="H34" s="10">
        <f>IF(OR(F34="",G34=""),"",G34-F34)</f>
        <v/>
      </c>
      <c r="I34" s="8" t="inlineStr"/>
    </row>
    <row r="35">
      <c r="A35" s="7" t="inlineStr">
        <is>
          <t>DC_04</t>
        </is>
      </c>
      <c r="B35" s="7" t="inlineStr">
        <is>
          <t>Đối chứng</t>
        </is>
      </c>
      <c r="C35" s="8" t="inlineStr"/>
      <c r="D35" s="8" t="inlineStr"/>
      <c r="E35" s="9">
        <f>IF(OR(C35="",D35=""),"",D35-C35)</f>
        <v/>
      </c>
      <c r="F35" s="10">
        <f>IF(C35="","",C35/20)</f>
        <v/>
      </c>
      <c r="G35" s="10">
        <f>IF(D35="","",D35/20)</f>
        <v/>
      </c>
      <c r="H35" s="10">
        <f>IF(OR(F35="",G35=""),"",G35-F35)</f>
        <v/>
      </c>
      <c r="I35" s="8" t="inlineStr"/>
    </row>
    <row r="36">
      <c r="A36" s="7" t="inlineStr">
        <is>
          <t>DC_05</t>
        </is>
      </c>
      <c r="B36" s="7" t="inlineStr">
        <is>
          <t>Đối chứng</t>
        </is>
      </c>
      <c r="C36" s="8" t="inlineStr"/>
      <c r="D36" s="8" t="inlineStr"/>
      <c r="E36" s="9">
        <f>IF(OR(C36="",D36=""),"",D36-C36)</f>
        <v/>
      </c>
      <c r="F36" s="10">
        <f>IF(C36="","",C36/20)</f>
        <v/>
      </c>
      <c r="G36" s="10">
        <f>IF(D36="","",D36/20)</f>
        <v/>
      </c>
      <c r="H36" s="10">
        <f>IF(OR(F36="",G36=""),"",G36-F36)</f>
        <v/>
      </c>
      <c r="I36" s="8" t="inlineStr"/>
    </row>
    <row r="37">
      <c r="A37" s="7" t="inlineStr">
        <is>
          <t>DC_06</t>
        </is>
      </c>
      <c r="B37" s="7" t="inlineStr">
        <is>
          <t>Đối chứng</t>
        </is>
      </c>
      <c r="C37" s="8" t="inlineStr"/>
      <c r="D37" s="8" t="inlineStr"/>
      <c r="E37" s="9">
        <f>IF(OR(C37="",D37=""),"",D37-C37)</f>
        <v/>
      </c>
      <c r="F37" s="10">
        <f>IF(C37="","",C37/20)</f>
        <v/>
      </c>
      <c r="G37" s="10">
        <f>IF(D37="","",D37/20)</f>
        <v/>
      </c>
      <c r="H37" s="10">
        <f>IF(OR(F37="",G37=""),"",G37-F37)</f>
        <v/>
      </c>
      <c r="I37" s="8" t="inlineStr"/>
    </row>
    <row r="38">
      <c r="A38" s="7" t="inlineStr">
        <is>
          <t>DC_07</t>
        </is>
      </c>
      <c r="B38" s="7" t="inlineStr">
        <is>
          <t>Đối chứng</t>
        </is>
      </c>
      <c r="C38" s="8" t="inlineStr"/>
      <c r="D38" s="8" t="inlineStr"/>
      <c r="E38" s="9">
        <f>IF(OR(C38="",D38=""),"",D38-C38)</f>
        <v/>
      </c>
      <c r="F38" s="10">
        <f>IF(C38="","",C38/20)</f>
        <v/>
      </c>
      <c r="G38" s="10">
        <f>IF(D38="","",D38/20)</f>
        <v/>
      </c>
      <c r="H38" s="10">
        <f>IF(OR(F38="",G38=""),"",G38-F38)</f>
        <v/>
      </c>
      <c r="I38" s="8" t="inlineStr"/>
    </row>
    <row r="39">
      <c r="A39" s="7" t="inlineStr">
        <is>
          <t>DC_08</t>
        </is>
      </c>
      <c r="B39" s="7" t="inlineStr">
        <is>
          <t>Đối chứng</t>
        </is>
      </c>
      <c r="C39" s="8" t="inlineStr"/>
      <c r="D39" s="8" t="inlineStr"/>
      <c r="E39" s="9">
        <f>IF(OR(C39="",D39=""),"",D39-C39)</f>
        <v/>
      </c>
      <c r="F39" s="10">
        <f>IF(C39="","",C39/20)</f>
        <v/>
      </c>
      <c r="G39" s="10">
        <f>IF(D39="","",D39/20)</f>
        <v/>
      </c>
      <c r="H39" s="10">
        <f>IF(OR(F39="",G39=""),"",G39-F39)</f>
        <v/>
      </c>
      <c r="I39" s="8" t="inlineStr"/>
    </row>
    <row r="40">
      <c r="A40" s="7" t="inlineStr">
        <is>
          <t>DC_09</t>
        </is>
      </c>
      <c r="B40" s="7" t="inlineStr">
        <is>
          <t>Đối chứng</t>
        </is>
      </c>
      <c r="C40" s="8" t="inlineStr"/>
      <c r="D40" s="8" t="inlineStr"/>
      <c r="E40" s="9">
        <f>IF(OR(C40="",D40=""),"",D40-C40)</f>
        <v/>
      </c>
      <c r="F40" s="10">
        <f>IF(C40="","",C40/20)</f>
        <v/>
      </c>
      <c r="G40" s="10">
        <f>IF(D40="","",D40/20)</f>
        <v/>
      </c>
      <c r="H40" s="10">
        <f>IF(OR(F40="",G40=""),"",G40-F40)</f>
        <v/>
      </c>
      <c r="I40" s="8" t="inlineStr"/>
    </row>
    <row r="41">
      <c r="A41" s="7" t="inlineStr">
        <is>
          <t>DC_10</t>
        </is>
      </c>
      <c r="B41" s="7" t="inlineStr">
        <is>
          <t>Đối chứng</t>
        </is>
      </c>
      <c r="C41" s="8" t="inlineStr"/>
      <c r="D41" s="8" t="inlineStr"/>
      <c r="E41" s="9">
        <f>IF(OR(C41="",D41=""),"",D41-C41)</f>
        <v/>
      </c>
      <c r="F41" s="10">
        <f>IF(C41="","",C41/20)</f>
        <v/>
      </c>
      <c r="G41" s="10">
        <f>IF(D41="","",D41/20)</f>
        <v/>
      </c>
      <c r="H41" s="10">
        <f>IF(OR(F41="",G41=""),"",G41-F41)</f>
        <v/>
      </c>
      <c r="I41" s="8" t="inlineStr"/>
    </row>
    <row r="42">
      <c r="A42" s="7" t="inlineStr">
        <is>
          <t>DC_11</t>
        </is>
      </c>
      <c r="B42" s="7" t="inlineStr">
        <is>
          <t>Đối chứng</t>
        </is>
      </c>
      <c r="C42" s="8" t="inlineStr"/>
      <c r="D42" s="8" t="inlineStr"/>
      <c r="E42" s="9">
        <f>IF(OR(C42="",D42=""),"",D42-C42)</f>
        <v/>
      </c>
      <c r="F42" s="10">
        <f>IF(C42="","",C42/20)</f>
        <v/>
      </c>
      <c r="G42" s="10">
        <f>IF(D42="","",D42/20)</f>
        <v/>
      </c>
      <c r="H42" s="10">
        <f>IF(OR(F42="",G42=""),"",G42-F42)</f>
        <v/>
      </c>
      <c r="I42" s="8" t="inlineStr"/>
    </row>
    <row r="43">
      <c r="A43" s="7" t="inlineStr">
        <is>
          <t>DC_12</t>
        </is>
      </c>
      <c r="B43" s="7" t="inlineStr">
        <is>
          <t>Đối chứng</t>
        </is>
      </c>
      <c r="C43" s="8" t="inlineStr"/>
      <c r="D43" s="8" t="inlineStr"/>
      <c r="E43" s="9">
        <f>IF(OR(C43="",D43=""),"",D43-C43)</f>
        <v/>
      </c>
      <c r="F43" s="10">
        <f>IF(C43="","",C43/20)</f>
        <v/>
      </c>
      <c r="G43" s="10">
        <f>IF(D43="","",D43/20)</f>
        <v/>
      </c>
      <c r="H43" s="10">
        <f>IF(OR(F43="",G43=""),"",G43-F43)</f>
        <v/>
      </c>
      <c r="I43" s="8" t="inlineStr"/>
    </row>
    <row r="44">
      <c r="A44" s="7" t="inlineStr">
        <is>
          <t>DC_13</t>
        </is>
      </c>
      <c r="B44" s="7" t="inlineStr">
        <is>
          <t>Đối chứng</t>
        </is>
      </c>
      <c r="C44" s="8" t="inlineStr"/>
      <c r="D44" s="8" t="inlineStr"/>
      <c r="E44" s="9">
        <f>IF(OR(C44="",D44=""),"",D44-C44)</f>
        <v/>
      </c>
      <c r="F44" s="10">
        <f>IF(C44="","",C44/20)</f>
        <v/>
      </c>
      <c r="G44" s="10">
        <f>IF(D44="","",D44/20)</f>
        <v/>
      </c>
      <c r="H44" s="10">
        <f>IF(OR(F44="",G44=""),"",G44-F44)</f>
        <v/>
      </c>
      <c r="I44" s="8" t="inlineStr"/>
    </row>
    <row r="45">
      <c r="A45" s="7" t="inlineStr">
        <is>
          <t>DC_14</t>
        </is>
      </c>
      <c r="B45" s="7" t="inlineStr">
        <is>
          <t>Đối chứng</t>
        </is>
      </c>
      <c r="C45" s="8" t="inlineStr"/>
      <c r="D45" s="8" t="inlineStr"/>
      <c r="E45" s="9">
        <f>IF(OR(C45="",D45=""),"",D45-C45)</f>
        <v/>
      </c>
      <c r="F45" s="10">
        <f>IF(C45="","",C45/20)</f>
        <v/>
      </c>
      <c r="G45" s="10">
        <f>IF(D45="","",D45/20)</f>
        <v/>
      </c>
      <c r="H45" s="10">
        <f>IF(OR(F45="",G45=""),"",G45-F45)</f>
        <v/>
      </c>
      <c r="I45" s="8" t="inlineStr"/>
    </row>
    <row r="46">
      <c r="A46" s="7" t="inlineStr">
        <is>
          <t>DC_15</t>
        </is>
      </c>
      <c r="B46" s="7" t="inlineStr">
        <is>
          <t>Đối chứng</t>
        </is>
      </c>
      <c r="C46" s="8" t="inlineStr"/>
      <c r="D46" s="8" t="inlineStr"/>
      <c r="E46" s="9">
        <f>IF(OR(C46="",D46=""),"",D46-C46)</f>
        <v/>
      </c>
      <c r="F46" s="10">
        <f>IF(C46="","",C46/20)</f>
        <v/>
      </c>
      <c r="G46" s="10">
        <f>IF(D46="","",D46/20)</f>
        <v/>
      </c>
      <c r="H46" s="10">
        <f>IF(OR(F46="",G46=""),"",G46-F46)</f>
        <v/>
      </c>
      <c r="I46" s="8" t="inlineStr"/>
    </row>
    <row r="47">
      <c r="A47" s="7" t="inlineStr">
        <is>
          <t>DC_16</t>
        </is>
      </c>
      <c r="B47" s="7" t="inlineStr">
        <is>
          <t>Đối chứng</t>
        </is>
      </c>
      <c r="C47" s="8" t="inlineStr"/>
      <c r="D47" s="8" t="inlineStr"/>
      <c r="E47" s="9">
        <f>IF(OR(C47="",D47=""),"",D47-C47)</f>
        <v/>
      </c>
      <c r="F47" s="10">
        <f>IF(C47="","",C47/20)</f>
        <v/>
      </c>
      <c r="G47" s="10">
        <f>IF(D47="","",D47/20)</f>
        <v/>
      </c>
      <c r="H47" s="10">
        <f>IF(OR(F47="",G47=""),"",G47-F47)</f>
        <v/>
      </c>
      <c r="I47" s="8" t="inlineStr"/>
    </row>
    <row r="48">
      <c r="A48" s="7" t="inlineStr">
        <is>
          <t>DC_17</t>
        </is>
      </c>
      <c r="B48" s="7" t="inlineStr">
        <is>
          <t>Đối chứng</t>
        </is>
      </c>
      <c r="C48" s="8" t="inlineStr"/>
      <c r="D48" s="8" t="inlineStr"/>
      <c r="E48" s="9">
        <f>IF(OR(C48="",D48=""),"",D48-C48)</f>
        <v/>
      </c>
      <c r="F48" s="10">
        <f>IF(C48="","",C48/20)</f>
        <v/>
      </c>
      <c r="G48" s="10">
        <f>IF(D48="","",D48/20)</f>
        <v/>
      </c>
      <c r="H48" s="10">
        <f>IF(OR(F48="",G48=""),"",G48-F48)</f>
        <v/>
      </c>
      <c r="I48" s="8" t="inlineStr"/>
    </row>
    <row r="49">
      <c r="A49" s="7" t="inlineStr">
        <is>
          <t>DC_18</t>
        </is>
      </c>
      <c r="B49" s="7" t="inlineStr">
        <is>
          <t>Đối chứng</t>
        </is>
      </c>
      <c r="C49" s="8" t="inlineStr"/>
      <c r="D49" s="8" t="inlineStr"/>
      <c r="E49" s="9">
        <f>IF(OR(C49="",D49=""),"",D49-C49)</f>
        <v/>
      </c>
      <c r="F49" s="10">
        <f>IF(C49="","",C49/20)</f>
        <v/>
      </c>
      <c r="G49" s="10">
        <f>IF(D49="","",D49/20)</f>
        <v/>
      </c>
      <c r="H49" s="10">
        <f>IF(OR(F49="",G49=""),"",G49-F49)</f>
        <v/>
      </c>
      <c r="I49" s="8" t="inlineStr"/>
    </row>
    <row r="50">
      <c r="A50" s="7" t="inlineStr">
        <is>
          <t>DC_19</t>
        </is>
      </c>
      <c r="B50" s="7" t="inlineStr">
        <is>
          <t>Đối chứng</t>
        </is>
      </c>
      <c r="C50" s="8" t="inlineStr"/>
      <c r="D50" s="8" t="inlineStr"/>
      <c r="E50" s="9">
        <f>IF(OR(C50="",D50=""),"",D50-C50)</f>
        <v/>
      </c>
      <c r="F50" s="10">
        <f>IF(C50="","",C50/20)</f>
        <v/>
      </c>
      <c r="G50" s="10">
        <f>IF(D50="","",D50/20)</f>
        <v/>
      </c>
      <c r="H50" s="10">
        <f>IF(OR(F50="",G50=""),"",G50-F50)</f>
        <v/>
      </c>
      <c r="I50" s="8" t="inlineStr"/>
    </row>
    <row r="51">
      <c r="A51" s="7" t="inlineStr">
        <is>
          <t>DC_20</t>
        </is>
      </c>
      <c r="B51" s="7" t="inlineStr">
        <is>
          <t>Đối chứng</t>
        </is>
      </c>
      <c r="C51" s="8" t="inlineStr"/>
      <c r="D51" s="8" t="inlineStr"/>
      <c r="E51" s="9">
        <f>IF(OR(C51="",D51=""),"",D51-C51)</f>
        <v/>
      </c>
      <c r="F51" s="10">
        <f>IF(C51="","",C51/20)</f>
        <v/>
      </c>
      <c r="G51" s="10">
        <f>IF(D51="","",D51/20)</f>
        <v/>
      </c>
      <c r="H51" s="10">
        <f>IF(OR(F51="",G51=""),"",G51-F51)</f>
        <v/>
      </c>
      <c r="I51" s="8" t="inlineStr"/>
    </row>
    <row r="52">
      <c r="A52" s="7" t="inlineStr">
        <is>
          <t>DC_21</t>
        </is>
      </c>
      <c r="B52" s="7" t="inlineStr">
        <is>
          <t>Đối chứng</t>
        </is>
      </c>
      <c r="C52" s="8" t="inlineStr"/>
      <c r="D52" s="8" t="inlineStr"/>
      <c r="E52" s="9">
        <f>IF(OR(C52="",D52=""),"",D52-C52)</f>
        <v/>
      </c>
      <c r="F52" s="10">
        <f>IF(C52="","",C52/20)</f>
        <v/>
      </c>
      <c r="G52" s="10">
        <f>IF(D52="","",D52/20)</f>
        <v/>
      </c>
      <c r="H52" s="10">
        <f>IF(OR(F52="",G52=""),"",G52-F52)</f>
        <v/>
      </c>
      <c r="I52" s="8" t="inlineStr"/>
    </row>
    <row r="53">
      <c r="A53" s="7" t="inlineStr">
        <is>
          <t>DC_22</t>
        </is>
      </c>
      <c r="B53" s="7" t="inlineStr">
        <is>
          <t>Đối chứng</t>
        </is>
      </c>
      <c r="C53" s="8" t="inlineStr"/>
      <c r="D53" s="8" t="inlineStr"/>
      <c r="E53" s="9">
        <f>IF(OR(C53="",D53=""),"",D53-C53)</f>
        <v/>
      </c>
      <c r="F53" s="10">
        <f>IF(C53="","",C53/20)</f>
        <v/>
      </c>
      <c r="G53" s="10">
        <f>IF(D53="","",D53/20)</f>
        <v/>
      </c>
      <c r="H53" s="10">
        <f>IF(OR(F53="",G53=""),"",G53-F53)</f>
        <v/>
      </c>
      <c r="I53" s="8" t="inlineStr"/>
    </row>
    <row r="54">
      <c r="A54" s="7" t="inlineStr">
        <is>
          <t>DC_23</t>
        </is>
      </c>
      <c r="B54" s="7" t="inlineStr">
        <is>
          <t>Đối chứng</t>
        </is>
      </c>
      <c r="C54" s="8" t="inlineStr"/>
      <c r="D54" s="8" t="inlineStr"/>
      <c r="E54" s="9">
        <f>IF(OR(C54="",D54=""),"",D54-C54)</f>
        <v/>
      </c>
      <c r="F54" s="10">
        <f>IF(C54="","",C54/20)</f>
        <v/>
      </c>
      <c r="G54" s="10">
        <f>IF(D54="","",D54/20)</f>
        <v/>
      </c>
      <c r="H54" s="10">
        <f>IF(OR(F54="",G54=""),"",G54-F54)</f>
        <v/>
      </c>
      <c r="I54" s="8" t="inlineStr"/>
    </row>
    <row r="55">
      <c r="A55" s="7" t="inlineStr">
        <is>
          <t>DC_24</t>
        </is>
      </c>
      <c r="B55" s="7" t="inlineStr">
        <is>
          <t>Đối chứng</t>
        </is>
      </c>
      <c r="C55" s="8" t="inlineStr"/>
      <c r="D55" s="8" t="inlineStr"/>
      <c r="E55" s="9">
        <f>IF(OR(C55="",D55=""),"",D55-C55)</f>
        <v/>
      </c>
      <c r="F55" s="10">
        <f>IF(C55="","",C55/20)</f>
        <v/>
      </c>
      <c r="G55" s="10">
        <f>IF(D55="","",D55/20)</f>
        <v/>
      </c>
      <c r="H55" s="10">
        <f>IF(OR(F55="",G55=""),"",G55-F55)</f>
        <v/>
      </c>
      <c r="I55" s="8" t="inlineStr"/>
    </row>
    <row r="56">
      <c r="A56" s="7" t="inlineStr">
        <is>
          <t>DC_25</t>
        </is>
      </c>
      <c r="B56" s="7" t="inlineStr">
        <is>
          <t>Đối chứng</t>
        </is>
      </c>
      <c r="C56" s="8" t="inlineStr"/>
      <c r="D56" s="8" t="inlineStr"/>
      <c r="E56" s="9">
        <f>IF(OR(C56="",D56=""),"",D56-C56)</f>
        <v/>
      </c>
      <c r="F56" s="10">
        <f>IF(C56="","",C56/20)</f>
        <v/>
      </c>
      <c r="G56" s="10">
        <f>IF(D56="","",D56/20)</f>
        <v/>
      </c>
      <c r="H56" s="10">
        <f>IF(OR(F56="",G56=""),"",G56-F56)</f>
        <v/>
      </c>
      <c r="I56" s="8" t="inlineStr"/>
    </row>
    <row r="57">
      <c r="A57" s="7" t="inlineStr">
        <is>
          <t>DC_26</t>
        </is>
      </c>
      <c r="B57" s="7" t="inlineStr">
        <is>
          <t>Đối chứng</t>
        </is>
      </c>
      <c r="C57" s="8" t="inlineStr"/>
      <c r="D57" s="8" t="inlineStr"/>
      <c r="E57" s="9">
        <f>IF(OR(C57="",D57=""),"",D57-C57)</f>
        <v/>
      </c>
      <c r="F57" s="10">
        <f>IF(C57="","",C57/20)</f>
        <v/>
      </c>
      <c r="G57" s="10">
        <f>IF(D57="","",D57/20)</f>
        <v/>
      </c>
      <c r="H57" s="10">
        <f>IF(OR(F57="",G57=""),"",G57-F57)</f>
        <v/>
      </c>
      <c r="I57" s="8" t="inlineStr"/>
    </row>
    <row r="58">
      <c r="A58" s="7" t="inlineStr">
        <is>
          <t>DC_27</t>
        </is>
      </c>
      <c r="B58" s="7" t="inlineStr">
        <is>
          <t>Đối chứng</t>
        </is>
      </c>
      <c r="C58" s="8" t="inlineStr"/>
      <c r="D58" s="8" t="inlineStr"/>
      <c r="E58" s="9">
        <f>IF(OR(C58="",D58=""),"",D58-C58)</f>
        <v/>
      </c>
      <c r="F58" s="10">
        <f>IF(C58="","",C58/20)</f>
        <v/>
      </c>
      <c r="G58" s="10">
        <f>IF(D58="","",D58/20)</f>
        <v/>
      </c>
      <c r="H58" s="10">
        <f>IF(OR(F58="",G58=""),"",G58-F58)</f>
        <v/>
      </c>
      <c r="I58" s="8" t="inlineStr"/>
    </row>
    <row r="59">
      <c r="A59" s="7" t="inlineStr">
        <is>
          <t>DC_28</t>
        </is>
      </c>
      <c r="B59" s="7" t="inlineStr">
        <is>
          <t>Đối chứng</t>
        </is>
      </c>
      <c r="C59" s="8" t="inlineStr"/>
      <c r="D59" s="8" t="inlineStr"/>
      <c r="E59" s="9">
        <f>IF(OR(C59="",D59=""),"",D59-C59)</f>
        <v/>
      </c>
      <c r="F59" s="10">
        <f>IF(C59="","",C59/20)</f>
        <v/>
      </c>
      <c r="G59" s="10">
        <f>IF(D59="","",D59/20)</f>
        <v/>
      </c>
      <c r="H59" s="10">
        <f>IF(OR(F59="",G59=""),"",G59-F59)</f>
        <v/>
      </c>
      <c r="I59" s="8" t="inlineStr"/>
    </row>
    <row r="60">
      <c r="A60" s="7" t="inlineStr">
        <is>
          <t>DC_29</t>
        </is>
      </c>
      <c r="B60" s="7" t="inlineStr">
        <is>
          <t>Đối chứng</t>
        </is>
      </c>
      <c r="C60" s="8" t="inlineStr"/>
      <c r="D60" s="8" t="inlineStr"/>
      <c r="E60" s="9">
        <f>IF(OR(C60="",D60=""),"",D60-C60)</f>
        <v/>
      </c>
      <c r="F60" s="10">
        <f>IF(C60="","",C60/20)</f>
        <v/>
      </c>
      <c r="G60" s="10">
        <f>IF(D60="","",D60/20)</f>
        <v/>
      </c>
      <c r="H60" s="10">
        <f>IF(OR(F60="",G60=""),"",G60-F60)</f>
        <v/>
      </c>
      <c r="I60" s="8" t="inlineStr"/>
    </row>
    <row r="61">
      <c r="A61" s="7" t="inlineStr">
        <is>
          <t>DC_30</t>
        </is>
      </c>
      <c r="B61" s="7" t="inlineStr">
        <is>
          <t>Đối chứng</t>
        </is>
      </c>
      <c r="C61" s="8" t="inlineStr"/>
      <c r="D61" s="8" t="inlineStr"/>
      <c r="E61" s="9">
        <f>IF(OR(C61="",D61=""),"",D61-C61)</f>
        <v/>
      </c>
      <c r="F61" s="10">
        <f>IF(C61="","",C61/20)</f>
        <v/>
      </c>
      <c r="G61" s="10">
        <f>IF(D61="","",D61/20)</f>
        <v/>
      </c>
      <c r="H61" s="10">
        <f>IF(OR(F61="",G61=""),"",G61-F61)</f>
        <v/>
      </c>
      <c r="I61" s="8" t="inlineStr"/>
    </row>
  </sheetData>
  <autoFilter ref="A1:I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TỔNG HỢP KẾT QUẢ THỰC NGHIỆM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2" t="inlineStr">
        <is>
          <t>Nhóm</t>
        </is>
      </c>
      <c r="B3" s="12" t="inlineStr">
        <is>
          <t>Số HS có Pre</t>
        </is>
      </c>
      <c r="C3" s="12" t="inlineStr">
        <is>
          <t>Điểm TB Pre</t>
        </is>
      </c>
      <c r="D3" s="12" t="inlineStr">
        <is>
          <t>Số HS có Post</t>
        </is>
      </c>
      <c r="E3" s="12" t="inlineStr">
        <is>
          <t>Điểm TB Post</t>
        </is>
      </c>
      <c r="F3" s="12" t="inlineStr">
        <is>
          <t>Mức tăng TB</t>
        </is>
      </c>
    </row>
    <row r="4">
      <c r="A4" s="2" t="inlineStr">
        <is>
          <t>Thực nghiệm</t>
        </is>
      </c>
      <c r="B4" s="9">
        <f>COUNTIFS(KET_QUA!$B$2:$B$61,A4,KET_QUA!$C$2:$C$61,"&gt;=0")</f>
        <v/>
      </c>
      <c r="C4" s="9">
        <f>IFERROR(AVERAGEIF(KET_QUA!$B$2:$B$61,A4,KET_QUA!$C$2:$C$61),"")</f>
        <v/>
      </c>
      <c r="D4" s="9">
        <f>COUNTIFS(KET_QUA!$B$2:$B$61,A4,KET_QUA!$D$2:$D$61,"&gt;=0")</f>
        <v/>
      </c>
      <c r="E4" s="9">
        <f>IFERROR(AVERAGEIF(KET_QUA!$B$2:$B$61,A4,KET_QUA!$D$2:$D$61),"")</f>
        <v/>
      </c>
      <c r="F4" s="9">
        <f>IF(OR(C4="",E4=""),"",E4-C4)</f>
        <v/>
      </c>
    </row>
    <row r="5">
      <c r="A5" s="2" t="inlineStr">
        <is>
          <t>Đối chứng</t>
        </is>
      </c>
      <c r="B5" s="9">
        <f>COUNTIFS(KET_QUA!$B$2:$B$61,A5,KET_QUA!$C$2:$C$61,"&gt;=0")</f>
        <v/>
      </c>
      <c r="C5" s="9">
        <f>IFERROR(AVERAGEIF(KET_QUA!$B$2:$B$61,A5,KET_QUA!$C$2:$C$61),"")</f>
        <v/>
      </c>
      <c r="D5" s="9">
        <f>COUNTIFS(KET_QUA!$B$2:$B$61,A5,KET_QUA!$D$2:$D$61,"&gt;=0")</f>
        <v/>
      </c>
      <c r="E5" s="9">
        <f>IFERROR(AVERAGEIF(KET_QUA!$B$2:$B$61,A5,KET_QUA!$D$2:$D$61),"")</f>
        <v/>
      </c>
      <c r="F5" s="9">
        <f>IF(OR(C5="",E5=""),"",E5-C5)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2026-09-20T09:35:21Z</dcterms:created>
  <dcterms:modified xmlns:dcterms="http://purl.org/dc/terms/" xmlns:xsi="http://www.w3.org/2001/XMLSchema-instance" xsi:type="dcterms:W3CDTF">2026-09-20T09:35:21Z</dcterms:modified>
</cp:coreProperties>
</file>